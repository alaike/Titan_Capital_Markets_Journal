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ttings" sheetId="2" state="visible" r:id="rId2"/>
    <sheet xmlns:r="http://schemas.openxmlformats.org/officeDocument/2006/relationships" name="02_Trade_Log" sheetId="3" state="visible" r:id="rId3"/>
    <sheet xmlns:r="http://schemas.openxmlformats.org/officeDocument/2006/relationships" name="03_Dashboard" sheetId="4" state="visible" r:id="rId4"/>
    <sheet xmlns:r="http://schemas.openxmlformats.org/officeDocument/2006/relationships" name="04_Breakdowns" sheetId="5" state="visible" r:id="rId5"/>
    <sheet xmlns:r="http://schemas.openxmlformats.org/officeDocument/2006/relationships" name="99_Lists" sheetId="6" state="hidden" r:id="rId6"/>
  </sheets>
  <definedNames>
    <definedName name="InitialCapital">'01_Settings'!$B$6</definedName>
    <definedName name="BEThreshold">'01_Settings'!$B$9</definedName>
    <definedName name="AccountCurrency">'01_Settings'!$B$7</definedName>
    <definedName name="ListPairs">99_Lists!$A$2:$A$30</definedName>
    <definedName name="ListSetups">99_Lists!$B$2:$B$5</definedName>
    <definedName name="ListSessions">99_Lists!$C$2:$C$5</definedName>
    <definedName name="ListPositions">99_Lists!$D$2:$D$3</definedName>
    <definedName name="ListPlan">99_Lists!$E$2:$E$4</definedName>
    <definedName name="ListExitReason">99_Lists!$F$2:$F$7</definedName>
    <definedName name="ListMarket">99_Lists!$G$2:$G$5</definedName>
    <definedName name="FilterPairs">99_Lists!$I$2:$I$31</definedName>
    <definedName name="FilterDays">99_Lists!$J$2:$J$9</definedName>
    <definedName name="FilterSessions">99_Lists!$K$2:$K$6</definedName>
    <definedName name="FilterSetups">99_Lists!$L$2:$L$6</definedName>
    <definedName name="F_Pair">'03_Dashboard'!$B$6</definedName>
    <definedName name="F_Day">'03_Dashboard'!$D$6</definedName>
    <definedName name="F_Session">'03_Dashboard'!$F$6</definedName>
    <definedName name="F_Setup">'03_Dashboard'!$H$6</definedName>
    <definedName name="F_From">'03_Dashboard'!$J$6</definedName>
    <definedName name="F_To">'03_Dashboard'!$L$6</definedName>
    <definedName name="_xlnm._FilterDatabase" localSheetId="2" hidden="1">'02_Trade_Log'!$A$1:$AM$401</definedName>
    <definedName name="_xlnm.Print_Titles" localSheetId="2">'02_Trade_Log'!$1:$1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HH:MM"/>
    <numFmt numFmtId="167" formatCode="0.00000"/>
    <numFmt numFmtId="168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E7D392"/>
      <sz val="24"/>
    </font>
    <font>
      <name val="Calibri"/>
      <color rgb="009AA6B8"/>
      <sz val="11"/>
    </font>
    <font>
      <name val="Calibri"/>
      <b val="1"/>
      <color rgb="00C9A84C"/>
      <sz val="12"/>
    </font>
    <font>
      <name val="Calibri"/>
      <color rgb="002A3A4A"/>
      <sz val="11"/>
    </font>
    <font>
      <name val="Calibri"/>
      <b val="1"/>
      <color rgb="00C9A84C"/>
      <sz val="11"/>
    </font>
    <font>
      <name val="Calibri"/>
      <b val="1"/>
      <sz val="11"/>
    </font>
    <font>
      <name val="Calibri"/>
      <b val="1"/>
      <sz val="12"/>
    </font>
    <font>
      <name val="Calibri"/>
      <color rgb="003A4654"/>
      <sz val="10"/>
    </font>
    <font>
      <name val="Calibri"/>
      <sz val="11"/>
    </font>
    <font>
      <name val="Calibri"/>
      <i val="1"/>
      <color rgb="002A3A4A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6D7A8C"/>
      <sz val="8"/>
    </font>
    <font>
      <name val="Calibri"/>
      <color rgb="006D7A8C"/>
      <sz val="8"/>
    </font>
    <font>
      <name val="Calibri"/>
      <b val="1"/>
      <color rgb="000B1220"/>
      <sz val="18"/>
    </font>
    <font>
      <name val="Calibri"/>
      <i val="1"/>
      <color rgb="006D7A8C"/>
      <sz val="9"/>
    </font>
    <font>
      <name val="Calibri"/>
      <b val="1"/>
      <color rgb="000B1220"/>
      <sz val="12"/>
    </font>
    <font>
      <name val="Calibri"/>
      <b val="1"/>
    </font>
    <font>
      <name val="Calibri"/>
      <b val="1"/>
      <color rgb="00C9A84C"/>
    </font>
  </fonts>
  <fills count="8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FF9E6"/>
      </patternFill>
    </fill>
    <fill>
      <patternFill patternType="solid">
        <fgColor rgb="00EEF3F7"/>
      </patternFill>
    </fill>
    <fill>
      <patternFill patternType="solid">
        <fgColor rgb="00F3EBD2"/>
      </patternFill>
    </fill>
    <fill>
      <patternFill patternType="solid">
        <fgColor rgb="00161D2A"/>
      </patternFill>
    </fill>
    <fill>
      <patternFill patternType="solid">
        <fgColor rgb="00FBF8F1"/>
      </patternFill>
    </fill>
  </fills>
  <borders count="3">
    <border>
      <left/>
      <right/>
      <top/>
      <bottom/>
      <diagonal/>
    </border>
    <border>
      <left style="thin">
        <color rgb="00D9D1C0"/>
      </left>
      <right style="thin">
        <color rgb="00D9D1C0"/>
      </right>
      <top style="thin">
        <color rgb="00D9D1C0"/>
      </top>
      <bottom style="thin">
        <color rgb="00D9D1C0"/>
      </bottom>
    </border>
    <border>
      <left style="hair">
        <color rgb="00E6D9B8"/>
      </left>
      <right style="hair">
        <color rgb="00E6D9B8"/>
      </right>
      <top style="hair">
        <color rgb="00E6D9B8"/>
      </top>
      <bottom style="hair">
        <color rgb="00E6D9B8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8" fillId="0" borderId="0" pivotButton="0" quotePrefix="0" xfId="0"/>
    <xf numFmtId="4" fontId="7" fillId="3" borderId="1" pivotButton="0" quotePrefix="0" xfId="0"/>
    <xf numFmtId="2" fontId="7" fillId="3" borderId="1" pivotButton="0" quotePrefix="0" xfId="0"/>
    <xf numFmtId="0" fontId="9" fillId="0" borderId="0" pivotButton="0" quotePrefix="0" xfId="0"/>
    <xf numFmtId="0" fontId="10" fillId="4" borderId="1" pivotButton="0" quotePrefix="0" xfId="0"/>
    <xf numFmtId="4" fontId="10" fillId="4" borderId="1" pivotButton="0" quotePrefix="0" xfId="0"/>
    <xf numFmtId="164" fontId="10" fillId="4" borderId="1" pivotButton="0" quotePrefix="0" xfId="0"/>
    <xf numFmtId="2" fontId="10" fillId="4" borderId="1" pivotButton="0" quotePrefix="0" xfId="0"/>
    <xf numFmtId="0" fontId="12" fillId="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165" fontId="0" fillId="3" borderId="2" pivotButton="0" quotePrefix="0" xfId="0"/>
    <xf numFmtId="166" fontId="0" fillId="3" borderId="2" pivotButton="0" quotePrefix="0" xfId="0"/>
    <xf numFmtId="0" fontId="0" fillId="3" borderId="2" pivotButton="0" quotePrefix="0" xfId="0"/>
    <xf numFmtId="2" fontId="0" fillId="3" borderId="2" pivotButton="0" quotePrefix="0" xfId="0"/>
    <xf numFmtId="4" fontId="0" fillId="3" borderId="2" pivotButton="0" quotePrefix="0" xfId="0"/>
    <xf numFmtId="167" fontId="0" fillId="3" borderId="2" pivotButton="0" quotePrefix="0" xfId="0"/>
    <xf numFmtId="167" fontId="10" fillId="4" borderId="0" applyAlignment="1" pivotButton="0" quotePrefix="0" xfId="0">
      <alignment horizontal="center" vertical="center"/>
    </xf>
    <xf numFmtId="168" fontId="10" fillId="4" borderId="0" applyAlignment="1" pivotButton="0" quotePrefix="0" xfId="0">
      <alignment horizontal="center" vertical="center"/>
    </xf>
    <xf numFmtId="2" fontId="10" fillId="4" borderId="0" applyAlignment="1" pivotButton="0" quotePrefix="0" xfId="0">
      <alignment horizontal="center" vertical="center"/>
    </xf>
    <xf numFmtId="4" fontId="10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0" fillId="5" borderId="1" pivotButton="0" quotePrefix="0" xfId="0"/>
    <xf numFmtId="1" fontId="15" fillId="5" borderId="1" applyAlignment="1" pivotButton="0" quotePrefix="0" xfId="0">
      <alignment horizontal="center" vertical="center"/>
    </xf>
    <xf numFmtId="164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9" fillId="0" borderId="0" pivotButton="0" quotePrefix="0" xfId="0"/>
    <xf numFmtId="0" fontId="11" fillId="6" borderId="0" applyAlignment="1" pivotButton="0" quotePrefix="0" xfId="0">
      <alignment horizontal="center" vertical="center" wrapText="1"/>
    </xf>
    <xf numFmtId="0" fontId="18" fillId="0" borderId="0" pivotButton="0" quotePrefix="0" xfId="0"/>
    <xf numFmtId="2" fontId="0" fillId="0" borderId="0" pivotButton="0" quotePrefix="0" xfId="0"/>
    <xf numFmtId="0" fontId="18" fillId="7" borderId="0" pivotButton="0" quotePrefix="0" xfId="0"/>
    <xf numFmtId="0" fontId="0" fillId="7" borderId="0" pivotButton="0" quotePrefix="0" xfId="0"/>
    <xf numFmtId="164" fontId="0" fillId="7" borderId="0" pivotButton="0" quotePrefix="0" xfId="0"/>
    <xf numFmtId="4" fontId="0" fillId="7" borderId="0" pivotButton="0" quotePrefix="0" xfId="0"/>
    <xf numFmtId="2" fontId="0" fillId="7" borderId="0" pivotButton="0" quotePrefix="0" xfId="0"/>
    <xf numFmtId="0" fontId="11" fillId="2" borderId="0" pivotButton="0" quotePrefix="0" xfId="0"/>
  </cellXfs>
  <cellStyles count="1">
    <cellStyle name="Normal" xfId="0" builtinId="0" hidden="0"/>
  </cellStyles>
  <dxfs count="7">
    <dxf>
      <font>
        <b val="1"/>
        <color rgb="001F8A5A"/>
      </font>
      <fill>
        <patternFill patternType="solid">
          <fgColor rgb="00E3F6EC"/>
        </patternFill>
      </fill>
    </dxf>
    <dxf>
      <font>
        <b val="1"/>
        <color rgb="00C0392B"/>
      </font>
      <fill>
        <patternFill patternType="solid">
          <fgColor rgb="00FDE8EA"/>
        </patternFill>
      </fill>
    </dxf>
    <dxf>
      <font>
        <b val="1"/>
        <color rgb="001F8A5A"/>
      </font>
    </dxf>
    <dxf>
      <font>
        <b val="1"/>
        <color rgb="00C0392B"/>
      </font>
    </dxf>
    <dxf>
      <font>
        <b val="1"/>
        <color rgb="006D7A8C"/>
      </font>
      <fill>
        <patternFill patternType="solid">
          <fgColor rgb="00E6EAF0"/>
        </patternFill>
      </fill>
    </dxf>
    <dxf>
      <font>
        <b val="1"/>
        <color rgb="008A7030"/>
      </font>
      <fill>
        <patternFill patternType="solid">
          <fgColor rgb="00F7E7B4"/>
        </patternFill>
      </fill>
    </dxf>
    <dxf>
      <fill>
        <patternFill patternType="solid">
          <fgColor rgb="00FDE8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vs loss vs breakeven</a:t>
            </a:r>
          </a:p>
        </rich>
      </tx>
    </title>
    <plotArea>
      <doughnutChart>
        <varyColors val="1"/>
        <ser>
          <idx val="0"/>
          <order val="0"/>
          <tx>
            <strRef>
              <f>'04_Breakdowns'!O26</f>
            </strRef>
          </tx>
          <spPr>
            <a:ln xmlns:a="http://schemas.openxmlformats.org/drawingml/2006/main">
              <a:prstDash val="solid"/>
            </a:ln>
          </spPr>
          <cat>
            <numRef>
              <f>'04_Breakdowns'!$N$27:$N$29</f>
            </numRef>
          </cat>
          <val>
            <numRef>
              <f>'04_Breakdowns'!$O$27:$O$29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PnL by weekday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'04_Breakdowns'!O5</f>
            </strRef>
          </tx>
          <spPr>
            <a:ln xmlns:a="http://schemas.openxmlformats.org/drawingml/2006/main">
              <a:prstDash val="solid"/>
            </a:ln>
          </spPr>
          <cat>
            <numRef>
              <f>'04_Breakdowns'!$N$6:$N$12</f>
            </numRef>
          </cat>
          <val>
            <numRef>
              <f>'04_Breakdowns'!$O$6:$O$12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PnL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'04_Breakdowns'!O14</f>
            </strRef>
          </tx>
          <spPr>
            <a:ln xmlns:a="http://schemas.openxmlformats.org/drawingml/2006/main">
              <a:prstDash val="solid"/>
            </a:ln>
          </spPr>
          <cat>
            <numRef>
              <f>'04_Breakdowns'!$N$15:$N$18</f>
            </numRef>
          </cat>
          <val>
            <numRef>
              <f>'04_Breakdowns'!$O$15:$O$18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PnL by setup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'04_Breakdowns'!O20</f>
            </strRef>
          </tx>
          <spPr>
            <a:ln xmlns:a="http://schemas.openxmlformats.org/drawingml/2006/main">
              <a:prstDash val="solid"/>
            </a:ln>
          </spPr>
          <cat>
            <numRef>
              <f>'04_Breakdowns'!$N$21:$N$24</f>
            </numRef>
          </cat>
          <val>
            <numRef>
              <f>'04_Breakdowns'!$O$21:$O$24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PnL by currency pair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'04_Breakdowns'!O31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'04_Breakdowns'!$N$32:$N$60</f>
            </numRef>
          </cat>
          <val>
            <numRef>
              <f>'04_Breakdowns'!$O$32:$O$60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rate by weekday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'04_Breakdowns'!P5</f>
            </strRef>
          </tx>
          <spPr>
            <a:ln xmlns:a="http://schemas.openxmlformats.org/drawingml/2006/main">
              <a:prstDash val="solid"/>
            </a:ln>
          </spPr>
          <cat>
            <numRef>
              <f>'04_Breakdowns'!$N$6:$N$12</f>
            </numRef>
          </cat>
          <val>
            <numRef>
              <f>'04_Breakdowns'!$P$6:$P$12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rate by setup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'04_Breakdowns'!P20</f>
            </strRef>
          </tx>
          <spPr>
            <a:ln xmlns:a="http://schemas.openxmlformats.org/drawingml/2006/main">
              <a:prstDash val="solid"/>
            </a:ln>
          </spPr>
          <cat>
            <numRef>
              <f>'04_Breakdowns'!$N$21:$N$24</f>
            </numRef>
          </cat>
          <val>
            <numRef>
              <f>'04_Breakdowns'!$P$21:$P$24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 (row order · closed trades)</a:t>
            </a:r>
          </a:p>
        </rich>
      </tx>
    </title>
    <plotArea>
      <lineChart>
        <grouping val="standard"/>
        <ser>
          <idx val="0"/>
          <order val="0"/>
          <tx>
            <strRef>
              <f>'02_Trade_Log'!AL1</f>
            </strRef>
          </tx>
          <spPr>
            <a:ln xmlns:a="http://schemas.openxmlformats.org/drawingml/2006/main" w="25000">
              <a:solidFill>
                <a:srgbClr val="C9A84C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'02_Trade_Log'!$A$2:$A$81</f>
            </numRef>
          </cat>
          <val>
            <numRef>
              <f>'02_Trade_Log'!$AL$2:$AL$81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32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32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69</row>
      <rowOff>0</rowOff>
    </from>
    <ext cx="432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</col>
      <colOff>0</colOff>
      <row>69</row>
      <rowOff>0</rowOff>
    </from>
    <ext cx="432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84</row>
      <rowOff>0</rowOff>
    </from>
    <ext cx="648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H5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AURUM LEDGER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Professional forex trading journal  ·  Excel companion to the Aurum desk</t>
        </is>
      </c>
      <c r="B2" s="2" t="n"/>
      <c r="C2" s="2" t="n"/>
      <c r="D2" s="2" t="n"/>
      <c r="E2" s="2" t="n"/>
      <c r="F2" s="2" t="n"/>
      <c r="G2" s="2" t="n"/>
      <c r="H2" s="2" t="n"/>
    </row>
    <row r="3" ht="8" customHeight="1"/>
    <row r="4">
      <c r="A4" s="4" t="inlineStr">
        <is>
          <t>HOW TO START</t>
        </is>
      </c>
    </row>
    <row r="5" ht="22" customHeight="1">
      <c r="A5" s="5" t="inlineStr">
        <is>
          <t>1. Open 01_Settings. Type your initial capital in the yellow cell B6. Set currency and breakeven threshold.</t>
        </is>
      </c>
    </row>
    <row r="6" ht="22" customHeight="1">
      <c r="A6" s="5" t="inlineStr">
        <is>
          <t>2. Go to 02_Trade_Log. Starting at row 2, fill only the yellow cells. Grey cells calculate themselves.</t>
        </is>
      </c>
    </row>
    <row r="7" ht="22" customHeight="1">
      <c r="A7" s="5" t="inlineStr">
        <is>
          <t>3. Leave Exit price and Exit date empty while the trade is open. Fill them when it closes. Paste broker PnL into “PnL override” for crosses.</t>
        </is>
      </c>
    </row>
    <row r="8" ht="22" customHeight="1">
      <c r="A8" s="5" t="inlineStr">
        <is>
          <t>4. Read 03_Dashboard. Use the yellow dropdowns (pair, weekday, session, setup, dates) to slice performance.</t>
        </is>
      </c>
    </row>
    <row r="9" ht="22" customHeight="1">
      <c r="A9" s="5" t="inlineStr">
        <is>
          <t>5. Read 04_Breakdowns for the full tables (pair / day / session / setup) with win rate, PnL, profit factor, averages.</t>
        </is>
      </c>
    </row>
    <row r="11" ht="22" customHeight="1">
      <c r="A11" s="5" t="inlineStr">
        <is>
          <t>YELLOW = YOU TYPE.  GREY = FORMULA.  Do not overwrite grey cells. Adding a new row: copy the entire row 2 formulas down, or type in the next empty yellow row (formulas are pre-filled through row 401).</t>
        </is>
      </c>
    </row>
    <row r="13">
      <c r="A13" s="4" t="inlineStr">
        <is>
          <t>COLUMN MAP — TRADE LOG</t>
        </is>
      </c>
    </row>
    <row r="14" ht="22" customHeight="1">
      <c r="A14" s="5" t="inlineStr">
        <is>
          <t>Basic: S/N (auto), Day of week (auto), Entry date, Entry time, Pair, Position, Session, Lot size, Risk amount, Risk %.</t>
        </is>
      </c>
    </row>
    <row r="15" ht="22" customHeight="1">
      <c r="A15" s="5" t="inlineStr">
        <is>
          <t>Management: Entry, Stop loss, Take profit, Setup.</t>
        </is>
      </c>
    </row>
    <row r="16" ht="22" customHeight="1">
      <c r="A16" s="5" t="inlineStr">
        <is>
          <t>Exit: Exit price, Exit date, Exit time, Commission, PnL override, Duration (auto), Planned RR, Realized RR, Pips (auto).</t>
        </is>
      </c>
    </row>
    <row r="17" ht="22" customHeight="1">
      <c r="A17" s="5" t="inlineStr">
        <is>
          <t>Result: Estimated PnL, Net PnL, Result (Win/Loss/BE/Open), Balance after trade.</t>
        </is>
      </c>
    </row>
    <row r="18" ht="22" customHeight="1">
      <c r="A18" s="5" t="inlineStr">
        <is>
          <t>Process: Notes, Followed plan, Exit reason, Market condition, Ticket.</t>
        </is>
      </c>
    </row>
    <row r="20">
      <c r="A20" s="4" t="inlineStr">
        <is>
          <t>CALCULATION RULES</t>
        </is>
      </c>
    </row>
    <row r="21" ht="22" customHeight="1">
      <c r="A21" s="5" t="inlineStr">
        <is>
          <t>Pip size: JPY pairs 0.01 · XAUUSD 0.10 · other FX 0.0001. Contract size: 100,000 FX · 100 oz gold.</t>
        </is>
      </c>
    </row>
    <row r="22" ht="22" customHeight="1">
      <c r="A22" s="5" t="inlineStr">
        <is>
          <t>Direction: Buy = +1, Sell = −1. Result pips = (exit − entry) × direction ÷ pip size.</t>
        </is>
      </c>
    </row>
    <row r="23" ht="22" customHeight="1">
      <c r="A23" s="5" t="inlineStr">
        <is>
          <t>XXXUSD &amp; XAUUSD PnL = price move × contract × lots. USDXXX PnL = that amount ÷ exit. Crosses ≈ pips × 10 × lots (override with broker).</t>
        </is>
      </c>
    </row>
    <row r="24" ht="22" customHeight="1">
      <c r="A24" s="5" t="inlineStr">
        <is>
          <t>Net PnL = (override if present, else estimate) − commission. Open trades have blank Net PnL and do not move equity.</t>
        </is>
      </c>
    </row>
    <row r="25" ht="22" customHeight="1">
      <c r="A25" s="5" t="inlineStr">
        <is>
          <t>Win / Loss / BE: Open if no exit. BE if |Net PnL| ≤ Settings!B9. Else sign of Net PnL.</t>
        </is>
      </c>
    </row>
    <row r="26" ht="22" customHeight="1">
      <c r="A26" s="5" t="inlineStr">
        <is>
          <t>Win rate = wins ÷ closed. Profit factor = gross profit ÷ |gross loss|; ∞ if no losses and some profit; — if both zero.</t>
        </is>
      </c>
    </row>
    <row r="27" ht="22" customHeight="1">
      <c r="A27" s="5" t="inlineStr">
        <is>
          <t>Planned RR = TP pips ÷ SL pips. Realized RR = result pips ÷ SL pips (negative when you lose).</t>
        </is>
      </c>
    </row>
    <row r="28" ht="22" customHeight="1">
      <c r="A28" s="5" t="inlineStr">
        <is>
          <t>Duration = (exit date+time) − (entry date+time), shown as days / hours / minutes.</t>
        </is>
      </c>
    </row>
    <row r="30">
      <c r="A30" s="4" t="inlineStr">
        <is>
          <t>QUALITY CONTROL</t>
        </is>
      </c>
    </row>
    <row r="31" ht="22" customHeight="1">
      <c r="A31" s="5" t="inlineStr">
        <is>
          <t>Dropdowns lock Pair, Position, Session, Setup, Plan, Exit reason, Market. Lots and prices must be &gt; 0.</t>
        </is>
      </c>
    </row>
    <row r="32" ht="22" customHeight="1">
      <c r="A32" s="5" t="inlineStr">
        <is>
          <t>Stop loss cell turns red if it sits on the wrong side of entry (Buy needs SL &lt; entry; Sell needs SL &gt; entry).</t>
        </is>
      </c>
    </row>
    <row r="33" ht="22" customHeight="1">
      <c r="A33" s="5" t="inlineStr">
        <is>
          <t>PnL, pips and Result are colour-coded: green win / red loss / gold open / grey breakeven.</t>
        </is>
      </c>
    </row>
    <row r="34" ht="22" customHeight="1">
      <c r="A34" s="5" t="inlineStr">
        <is>
          <t>Do not skip rows. Do not delete formula columns (Y–AM). Hide them if you want a quieter log.</t>
        </is>
      </c>
    </row>
    <row r="35" ht="22" customHeight="1">
      <c r="A35" s="5" t="inlineStr">
        <is>
          <t>This workbook ships empty. No sample statistics. Log only trades you took.</t>
        </is>
      </c>
    </row>
    <row r="37">
      <c r="A37" s="4" t="inlineStr">
        <is>
          <t>PAIRS</t>
        </is>
      </c>
    </row>
    <row r="38" ht="22" customHeight="1">
      <c r="A38" s="5" t="inlineStr">
        <is>
          <t>AUDCHF, AUDJPY, AUDCAD, AUDUSD, AUDNZD, EURGBP, EURCHF, EURJPY, EURCAD, EURUSD, EURNZD, EURAUD, GBPCHF, GBPJPY, GBPCAD, GBPUSD, GBPNZD, GBPAUD, NZDCHF, NZDJPY, NZDCAD, NZDUSD, CADJPY, CADCHF, USDCHF, USDJPY, USDCAD, XAUUSD, CHFJPY</t>
        </is>
      </c>
    </row>
    <row r="40">
      <c r="A40" s="4" t="inlineStr">
        <is>
          <t>SETUPS</t>
        </is>
      </c>
    </row>
    <row r="41" ht="22" customHeight="1">
      <c r="A41" s="5" t="inlineStr">
        <is>
          <t>Safety trade  ·  H1 5050 Bounce  ·  H4 50505 Bounce  ·  Other</t>
        </is>
      </c>
    </row>
    <row r="43">
      <c r="A43" s="4" t="inlineStr">
        <is>
          <t>SESSIONS</t>
        </is>
      </c>
    </row>
    <row r="44" ht="22" customHeight="1">
      <c r="A44" s="5" t="inlineStr">
        <is>
          <t>Asian  ·  Tokyo  ·  London  ·  New York</t>
        </is>
      </c>
    </row>
    <row r="46">
      <c r="A46" s="4" t="inlineStr">
        <is>
          <t>WEB DESK</t>
        </is>
      </c>
    </row>
    <row r="47" ht="22" customHeight="1">
      <c r="A47" s="5" t="inlineStr">
        <is>
          <t>The interactive desk (filters, equity curve, live ticket, JSON backup) is index.html in this folder. Excel is the portable source of truth; the desk is the analysis surface.</t>
        </is>
      </c>
    </row>
    <row r="49">
      <c r="A49" s="4" t="inlineStr">
        <is>
          <t>MISSING FIELDS ADDED vs original brief</t>
        </is>
      </c>
    </row>
    <row r="50" ht="22" customHeight="1">
      <c r="A50" s="5" t="inlineStr">
        <is>
          <t>Initial capital, account currency, commission/swap, broker PnL override, open vs closed, pips, planned vs realized RR, exit reason, plan adherence, market condition, ticket, risk %, expectancy, profit-factor zero-loss guard.</t>
        </is>
      </c>
    </row>
  </sheetData>
  <mergeCells count="40">
    <mergeCell ref="A9:H9"/>
    <mergeCell ref="A30:H30"/>
    <mergeCell ref="A15:H15"/>
    <mergeCell ref="A24:H24"/>
    <mergeCell ref="A11:H11"/>
    <mergeCell ref="A49:H49"/>
    <mergeCell ref="A1:H1"/>
    <mergeCell ref="A6:H6"/>
    <mergeCell ref="A7:H7"/>
    <mergeCell ref="A25:H25"/>
    <mergeCell ref="A16:H16"/>
    <mergeCell ref="A41:H41"/>
    <mergeCell ref="A37:H37"/>
    <mergeCell ref="A46:H46"/>
    <mergeCell ref="A27:H27"/>
    <mergeCell ref="A18:H18"/>
    <mergeCell ref="A50:H50"/>
    <mergeCell ref="A26:H26"/>
    <mergeCell ref="A21:H21"/>
    <mergeCell ref="A2:H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35:H35"/>
    <mergeCell ref="A20:H20"/>
    <mergeCell ref="A38:H38"/>
    <mergeCell ref="A43:H43"/>
    <mergeCell ref="A28:H28"/>
    <mergeCell ref="A13:H13"/>
    <mergeCell ref="A44:H44"/>
    <mergeCell ref="A31:H31"/>
    <mergeCell ref="A34:H34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AURUM LEDGER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Account settings  ·  initial capital lives here  ·  every formula starts from this sheet</t>
        </is>
      </c>
      <c r="B2" s="2" t="n"/>
      <c r="C2" s="2" t="n"/>
      <c r="D2" s="2" t="n"/>
      <c r="E2" s="2" t="n"/>
      <c r="F2" s="2" t="n"/>
      <c r="G2" s="2" t="n"/>
    </row>
    <row r="3" ht="10" customHeight="1"/>
    <row r="4">
      <c r="A4" s="6" t="inlineStr">
        <is>
          <t>INPUTS  (yellow cells)</t>
        </is>
      </c>
    </row>
    <row r="5">
      <c r="A5" s="7" t="inlineStr">
        <is>
          <t>Account name</t>
        </is>
      </c>
      <c r="B5" s="8" t="inlineStr"/>
      <c r="C5" s="9" t="inlineStr">
        <is>
          <t>Optional label (broker / challenge / live).</t>
        </is>
      </c>
    </row>
    <row r="6">
      <c r="A6" s="7" t="inlineStr">
        <is>
          <t>Initial capital</t>
        </is>
      </c>
      <c r="B6" s="10" t="n">
        <v>10000</v>
      </c>
      <c r="C6" s="9" t="inlineStr">
        <is>
          <t>Starting cash. Equity curve begins at this number.</t>
        </is>
      </c>
    </row>
    <row r="7">
      <c r="A7" s="7" t="inlineStr">
        <is>
          <t>Account currency</t>
        </is>
      </c>
      <c r="B7" s="8" t="inlineStr">
        <is>
          <t>USD</t>
        </is>
      </c>
      <c r="C7" s="9" t="inlineStr">
        <is>
          <t>Used for number formats and the dashboard.</t>
        </is>
      </c>
    </row>
    <row r="8">
      <c r="A8" s="7" t="inlineStr">
        <is>
          <t>Default risk %</t>
        </is>
      </c>
      <c r="B8" s="11" t="n">
        <v>1</v>
      </c>
      <c r="C8" s="9" t="inlineStr">
        <is>
          <t>Informational default for the Risk % column.</t>
        </is>
      </c>
    </row>
    <row r="9">
      <c r="A9" s="7" t="inlineStr">
        <is>
          <t>Breakeven threshold</t>
        </is>
      </c>
      <c r="B9" s="11" t="n">
        <v>0.5</v>
      </c>
      <c r="C9" s="9" t="inlineStr">
        <is>
          <t>|Net PnL| at or below this is BE, not a win or a loss.</t>
        </is>
      </c>
    </row>
    <row r="11">
      <c r="A11" s="6" t="inlineStr">
        <is>
          <t>CALCULATED</t>
        </is>
      </c>
    </row>
    <row r="12">
      <c r="A12" s="12" t="inlineStr">
        <is>
          <t>Closed trades</t>
        </is>
      </c>
      <c r="B12" s="13">
        <f>COUNTIF('02_Trade_Log'!AK:AK,"Win")+COUNTIF('02_Trade_Log'!AK:AK,"Loss")+COUNTIF('02_Trade_Log'!AK:AK,"BE")</f>
        <v/>
      </c>
    </row>
    <row r="13">
      <c r="A13" s="12" t="inlineStr">
        <is>
          <t>Open trades</t>
        </is>
      </c>
      <c r="B13" s="13">
        <f>COUNTIF('02_Trade_Log'!AK:AK,"Open")</f>
        <v/>
      </c>
    </row>
    <row r="14">
      <c r="A14" s="12" t="inlineStr">
        <is>
          <t>Total net PnL</t>
        </is>
      </c>
      <c r="B14" s="14">
        <f>SUMIF('02_Trade_Log'!AK:AK,"&lt;&gt;Open",'02_Trade_Log'!AJ:AJ)</f>
        <v/>
      </c>
    </row>
    <row r="15">
      <c r="A15" s="12" t="inlineStr">
        <is>
          <t>Current equity</t>
        </is>
      </c>
      <c r="B15" s="14">
        <f>B6+B14</f>
        <v/>
      </c>
    </row>
    <row r="16">
      <c r="A16" s="12" t="inlineStr">
        <is>
          <t>Wins</t>
        </is>
      </c>
      <c r="B16" s="13">
        <f>COUNTIF('02_Trade_Log'!AK:AK,"Win")</f>
        <v/>
      </c>
    </row>
    <row r="17">
      <c r="A17" s="12" t="inlineStr">
        <is>
          <t>Losses</t>
        </is>
      </c>
      <c r="B17" s="13">
        <f>COUNTIF('02_Trade_Log'!AK:AK,"Loss")</f>
        <v/>
      </c>
    </row>
    <row r="18">
      <c r="A18" s="12" t="inlineStr">
        <is>
          <t>Breakevens</t>
        </is>
      </c>
      <c r="B18" s="13">
        <f>COUNTIF('02_Trade_Log'!AK:AK,"BE")</f>
        <v/>
      </c>
    </row>
    <row r="19">
      <c r="A19" s="12" t="inlineStr">
        <is>
          <t>Win rate</t>
        </is>
      </c>
      <c r="B19" s="15">
        <f>IF(B12=0,"—",B16/B12)</f>
        <v/>
      </c>
    </row>
    <row r="20">
      <c r="A20" s="12" t="inlineStr">
        <is>
          <t>Gross profit</t>
        </is>
      </c>
      <c r="B20" s="14">
        <f>SUMIFS('02_Trade_Log'!AJ:AJ,'02_Trade_Log'!AJ:AJ,"&gt;0",'02_Trade_Log'!AK:AK,"&lt;&gt;Open")</f>
        <v/>
      </c>
    </row>
    <row r="21">
      <c r="A21" s="12" t="inlineStr">
        <is>
          <t>Gross loss (abs)</t>
        </is>
      </c>
      <c r="B21" s="14">
        <f>ABS(SUMIFS('02_Trade_Log'!AJ:AJ,'02_Trade_Log'!AJ:AJ,"&lt;0",'02_Trade_Log'!AK:AK,"&lt;&gt;Open"))</f>
        <v/>
      </c>
    </row>
    <row r="22">
      <c r="A22" s="12" t="inlineStr">
        <is>
          <t>Profit factor</t>
        </is>
      </c>
      <c r="B22" s="16">
        <f>IF(B21=0,IF(B20&gt;0,"∞","—"),B20/B21)</f>
        <v/>
      </c>
    </row>
    <row r="24">
      <c r="A24" s="6" t="inlineStr">
        <is>
          <t>RULES</t>
        </is>
      </c>
    </row>
    <row r="25" ht="18" customHeight="1">
      <c r="A25" s="9" t="inlineStr">
        <is>
          <t>1.  Yellow cells are the only settings you type. Grey cells are formulas — do not overwrite them.</t>
        </is>
      </c>
    </row>
    <row r="26" ht="18" customHeight="1">
      <c r="A26" s="9" t="inlineStr">
        <is>
          <t>2.  Enter trades on 02_Trade_Log, starting at row 2. Do not insert columns; adding rows inside the table is safe.</t>
        </is>
      </c>
    </row>
    <row r="27" ht="18" customHeight="1">
      <c r="A27" s="9" t="inlineStr">
        <is>
          <t>3.  Leave Exit price and Exit date blank while a trade is open. Open trades never change equity, win rate, or profit factor.</t>
        </is>
      </c>
    </row>
    <row r="28" ht="18" customHeight="1">
      <c r="A28" s="9" t="inlineStr">
        <is>
          <t>4.  If the pair is a non-USD cross, paste the broker PnL into “PnL override”. Estimated PnL for crosses uses ~10 account-units per pip per standard lot.</t>
        </is>
      </c>
    </row>
    <row r="29" ht="18" customHeight="1">
      <c r="A29" s="9" t="inlineStr">
        <is>
          <t>5.  Pip size: JPY pairs 0.01 · XAUUSD 0.10 · other FX 0.0001. Contract: 100,000 FX · 100 oz gold.</t>
        </is>
      </c>
    </row>
    <row r="30" ht="18" customHeight="1">
      <c r="A30" s="9" t="inlineStr">
        <is>
          <t>6.  Buy: direction +1. Sell: direction −1. Result pips = (exit − entry) × direction ÷ pip size.</t>
        </is>
      </c>
    </row>
    <row r="31" ht="18" customHeight="1">
      <c r="A31" s="9" t="inlineStr">
        <is>
          <t>7.  Planned RR = TP pips ÷ SL pips. Realized RR = result pips ÷ SL pips (negative on a loss).</t>
        </is>
      </c>
    </row>
    <row r="32" ht="18" customHeight="1">
      <c r="A32" s="9" t="inlineStr">
        <is>
          <t>8.  Net PnL = (override if present, else estimate) − commission. BE when |Net PnL| ≤ breakeven threshold.</t>
        </is>
      </c>
    </row>
    <row r="33" ht="18" customHeight="1">
      <c r="A33" s="9" t="inlineStr">
        <is>
          <t>9.  Profit factor = gross profit ÷ gross loss. If gross loss is 0 and gross profit &gt; 0 the cell shows ∞.</t>
        </is>
      </c>
    </row>
    <row r="34" ht="18" customHeight="1">
      <c r="A34" s="9" t="inlineStr">
        <is>
          <t>10.  Balance after trade is a running sum in row order. Sort the log by exit date before reading the equity path.</t>
        </is>
      </c>
    </row>
    <row r="35" ht="18" customHeight="1">
      <c r="A35" s="9" t="inlineStr">
        <is>
          <t>11.  S/N and Day of week are automatic. Dropdowns lock Pair, Position, Session, Setup, Plan, Exit reason, Market.</t>
        </is>
      </c>
    </row>
    <row r="36" ht="18" customHeight="1">
      <c r="A36" s="9" t="inlineStr">
        <is>
          <t>12.  Example / demo rows are not included. Do not invent results; log only tickets you actually took.</t>
        </is>
      </c>
    </row>
  </sheetData>
  <mergeCells count="19">
    <mergeCell ref="A32:G32"/>
    <mergeCell ref="C8:F8"/>
    <mergeCell ref="A35:G35"/>
    <mergeCell ref="C7:F7"/>
    <mergeCell ref="A29:G29"/>
    <mergeCell ref="A28:G28"/>
    <mergeCell ref="A31:G31"/>
    <mergeCell ref="A34:G34"/>
    <mergeCell ref="C6:F6"/>
    <mergeCell ref="A30:G30"/>
    <mergeCell ref="C5:F5"/>
    <mergeCell ref="A36:G36"/>
    <mergeCell ref="A1:G1"/>
    <mergeCell ref="A25:G25"/>
    <mergeCell ref="C9:F9"/>
    <mergeCell ref="A27:G27"/>
    <mergeCell ref="A26:G26"/>
    <mergeCell ref="A2:G2"/>
    <mergeCell ref="A33:G33"/>
  </mergeCells>
  <dataValidations count="1">
    <dataValidation sqref="B7" showDropDown="0" showInputMessage="0" showErrorMessage="0" allowBlank="0" type="list">
      <formula1>"USD,EUR,GBP,NGN,ZAR,CAD,AUD,CHF,JPY"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6F7F"/>
    <outlinePr summaryBelow="1" summaryRight="1"/>
    <pageSetUpPr fitToPage="1"/>
  </sheetPr>
  <dimension ref="A1:AM4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2" customWidth="1" min="4" max="4"/>
    <col width="14" customWidth="1" min="5" max="5"/>
    <col width="11" customWidth="1" min="6" max="6"/>
    <col width="12" customWidth="1" min="7" max="7"/>
    <col width="11" customWidth="1" min="8" max="8"/>
    <col width="14" customWidth="1" min="9" max="9"/>
    <col width="10" customWidth="1" min="10" max="10"/>
    <col width="13" customWidth="1" min="11" max="11"/>
    <col width="12" customWidth="1" min="12" max="12"/>
    <col width="13" customWidth="1" min="13" max="13"/>
    <col width="18" customWidth="1" min="14" max="14"/>
    <col width="12" customWidth="1" min="15" max="15"/>
    <col width="13" customWidth="1" min="16" max="16"/>
    <col width="12" customWidth="1" min="17" max="17"/>
    <col width="16" customWidth="1" min="18" max="18"/>
    <col width="18" customWidth="1" min="19" max="19"/>
    <col width="28" customWidth="1" min="20" max="20"/>
    <col width="14" customWidth="1" min="21" max="21"/>
    <col width="20" customWidth="1" min="22" max="22"/>
    <col width="16" customWidth="1" min="23" max="23"/>
    <col width="14" customWidth="1" min="24" max="24"/>
    <col width="11" customWidth="1" min="25" max="25"/>
    <col width="11" customWidth="1" min="26" max="26"/>
    <col width="13" customWidth="1" min="27" max="27"/>
    <col width="11" customWidth="1" min="28" max="28"/>
    <col width="11" customWidth="1" min="29" max="29"/>
    <col width="12" customWidth="1" min="30" max="30"/>
    <col width="12" customWidth="1" min="31" max="31"/>
    <col width="12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8" customWidth="1" min="38" max="38"/>
    <col width="10" customWidth="1" min="39" max="39"/>
  </cols>
  <sheetData>
    <row r="1" ht="36" customHeight="1">
      <c r="A1" s="17" t="inlineStr">
        <is>
          <t>S/N</t>
        </is>
      </c>
      <c r="B1" s="17" t="inlineStr">
        <is>
          <t>Day of week</t>
        </is>
      </c>
      <c r="C1" s="17" t="inlineStr">
        <is>
          <t>Entry date</t>
        </is>
      </c>
      <c r="D1" s="17" t="inlineStr">
        <is>
          <t>Entry time</t>
        </is>
      </c>
      <c r="E1" s="17" t="inlineStr">
        <is>
          <t>Currency pair</t>
        </is>
      </c>
      <c r="F1" s="17" t="inlineStr">
        <is>
          <t>Position</t>
        </is>
      </c>
      <c r="G1" s="17" t="inlineStr">
        <is>
          <t>Session</t>
        </is>
      </c>
      <c r="H1" s="17" t="inlineStr">
        <is>
          <t>Lot size</t>
        </is>
      </c>
      <c r="I1" s="17" t="inlineStr">
        <is>
          <t>Risk per trade</t>
        </is>
      </c>
      <c r="J1" s="17" t="inlineStr">
        <is>
          <t>Risk %</t>
        </is>
      </c>
      <c r="K1" s="17" t="inlineStr">
        <is>
          <t>Entry price</t>
        </is>
      </c>
      <c r="L1" s="17" t="inlineStr">
        <is>
          <t>Stop loss</t>
        </is>
      </c>
      <c r="M1" s="17" t="inlineStr">
        <is>
          <t>Take profit</t>
        </is>
      </c>
      <c r="N1" s="17" t="inlineStr">
        <is>
          <t>Trading setup</t>
        </is>
      </c>
      <c r="O1" s="17" t="inlineStr">
        <is>
          <t>Exit price</t>
        </is>
      </c>
      <c r="P1" s="17" t="inlineStr">
        <is>
          <t>Exit date</t>
        </is>
      </c>
      <c r="Q1" s="17" t="inlineStr">
        <is>
          <t>Exit time</t>
        </is>
      </c>
      <c r="R1" s="17" t="inlineStr">
        <is>
          <t>Commission / swap</t>
        </is>
      </c>
      <c r="S1" s="17" t="inlineStr">
        <is>
          <t>PnL override (broker)</t>
        </is>
      </c>
      <c r="T1" s="17" t="inlineStr">
        <is>
          <t>Notes</t>
        </is>
      </c>
      <c r="U1" s="17" t="inlineStr">
        <is>
          <t>Followed plan</t>
        </is>
      </c>
      <c r="V1" s="17" t="inlineStr">
        <is>
          <t>Exit reason</t>
        </is>
      </c>
      <c r="W1" s="17" t="inlineStr">
        <is>
          <t>Market condition</t>
        </is>
      </c>
      <c r="X1" s="17" t="inlineStr">
        <is>
          <t>Ticket / ID</t>
        </is>
      </c>
      <c r="Y1" s="17" t="inlineStr">
        <is>
          <t>Pip size</t>
        </is>
      </c>
      <c r="Z1" s="17" t="inlineStr">
        <is>
          <t>Direction</t>
        </is>
      </c>
      <c r="AA1" s="17" t="inlineStr">
        <is>
          <t>Contract size</t>
        </is>
      </c>
      <c r="AB1" s="17" t="inlineStr">
        <is>
          <t>SL pips</t>
        </is>
      </c>
      <c r="AC1" s="17" t="inlineStr">
        <is>
          <t>TP pips</t>
        </is>
      </c>
      <c r="AD1" s="17" t="inlineStr">
        <is>
          <t>Result pips</t>
        </is>
      </c>
      <c r="AE1" s="17" t="inlineStr">
        <is>
          <t>Planned RR</t>
        </is>
      </c>
      <c r="AF1" s="17" t="inlineStr">
        <is>
          <t>Realized RR</t>
        </is>
      </c>
      <c r="AG1" s="17" t="inlineStr">
        <is>
          <t>Duration (hours)</t>
        </is>
      </c>
      <c r="AH1" s="17" t="inlineStr">
        <is>
          <t>Trade duration</t>
        </is>
      </c>
      <c r="AI1" s="17" t="inlineStr">
        <is>
          <t>Estimated PnL</t>
        </is>
      </c>
      <c r="AJ1" s="17" t="inlineStr">
        <is>
          <t>Net PnL</t>
        </is>
      </c>
      <c r="AK1" s="17" t="inlineStr">
        <is>
          <t>Result</t>
        </is>
      </c>
      <c r="AL1" s="17" t="inlineStr">
        <is>
          <t>Balance after trade</t>
        </is>
      </c>
      <c r="AM1" s="17" t="inlineStr">
        <is>
          <t>Closed?</t>
        </is>
      </c>
    </row>
    <row r="2" ht="18" customHeight="1">
      <c r="A2" s="18">
        <f>IF(C2="","",COUNTA($C$2:C2))</f>
        <v/>
      </c>
      <c r="B2" s="18">
        <f>IF(C2="","",TEXT(C2,"dddd"))</f>
        <v/>
      </c>
      <c r="C2" s="19" t="n"/>
      <c r="D2" s="20" t="n"/>
      <c r="E2" s="21" t="n"/>
      <c r="F2" s="21" t="n"/>
      <c r="G2" s="21" t="n"/>
      <c r="H2" s="22" t="n"/>
      <c r="I2" s="23" t="n"/>
      <c r="J2" s="22" t="n"/>
      <c r="K2" s="24" t="n"/>
      <c r="L2" s="24" t="n"/>
      <c r="M2" s="24" t="n"/>
      <c r="N2" s="21" t="n"/>
      <c r="O2" s="24" t="n"/>
      <c r="P2" s="19" t="n"/>
      <c r="Q2" s="20" t="n"/>
      <c r="R2" s="23" t="n"/>
      <c r="S2" s="23" t="n"/>
      <c r="T2" s="21" t="n"/>
      <c r="U2" s="21" t="n"/>
      <c r="V2" s="21" t="n"/>
      <c r="W2" s="21" t="n"/>
      <c r="X2" s="21" t="n"/>
      <c r="Y2" s="25">
        <f>IF($C2="","",IF(E2="XAUUSD",0.1,IF(ISNUMBER(SEARCH("JPY",E2)),0.01,0.0001)))</f>
        <v/>
      </c>
      <c r="Z2" s="18">
        <f>IF($C2="","",IF(F2="Sell",-1,1))</f>
        <v/>
      </c>
      <c r="AA2" s="18">
        <f>IF($C2="","",IF(E2="XAUUSD",100,100000))</f>
        <v/>
      </c>
      <c r="AB2" s="26">
        <f>IF(OR(K2="",L2=""),"",ABS(K2-L2)/Y2)</f>
        <v/>
      </c>
      <c r="AC2" s="26">
        <f>IF(OR(K2="",M2=""),"",ABS(M2-K2)/Y2)</f>
        <v/>
      </c>
      <c r="AD2" s="26">
        <f>IF(OR(K2="",O2=""),"",(O2-K2)*Z2/Y2)</f>
        <v/>
      </c>
      <c r="AE2" s="27">
        <f>IF(OR(AB2="",AB2=0,AC2=""),"",AC2/AB2)</f>
        <v/>
      </c>
      <c r="AF2" s="27">
        <f>IF(OR(AB2="",AB2=0,AD2=""),"",AD2/AB2)</f>
        <v/>
      </c>
      <c r="AG2" s="27">
        <f>IF(OR(C2="",P2=""),"",((P2+IF(Q2="",0,Q2))-(C2+IF(D2="",0,D2)))*24)</f>
        <v/>
      </c>
      <c r="AH2" s="18">
        <f>IF(AG2="","",INT(AG2/24)&amp;"d "&amp;INT(MOD(AG2,24))&amp;"h "&amp;INT(MOD(AG2*60,60))&amp;"m")</f>
        <v/>
      </c>
      <c r="AI2" s="28">
        <f>IF(OR(O2="",K2="",H2=""),"",IF(OR(E2="XAUUSD",RIGHT(E2,3)="USD"),(O2-K2)*Z2*AA2*H2,IF(LEFT(E2,3)="USD",IF(O2=0,"",(O2-K2)*Z2*AA2*H2/O2),AD2*10*H2)))</f>
        <v/>
      </c>
      <c r="AJ2" s="28">
        <f>IF(O2="","",IF(S2="",IF(AI2="",0,AI2),S2)-IF(R2="",0,R2))</f>
        <v/>
      </c>
      <c r="AK2" s="18">
        <f>IF(C2="","",IF(OR(O2="",P2=""),"Open",IF(ABS(AJ2)&lt;=BEThreshold,"BE",IF(AJ2&gt;0,"Win","Loss"))))</f>
        <v/>
      </c>
      <c r="AL2" s="28">
        <f>IF(OR(C2="",AK2="Open"),"",InitialCapital+SUMIFS($AJ$2:AJ2,$AK$2:AK2,"&lt;&gt;Open"))</f>
        <v/>
      </c>
      <c r="AM2" s="18">
        <f>IF(OR(C2="",AK2=""),"",IF(AK2="Open","No","Yes"))</f>
        <v/>
      </c>
    </row>
    <row r="3" ht="18" customHeight="1">
      <c r="A3" s="18">
        <f>IF(C3="","",COUNTA($C$2:C3))</f>
        <v/>
      </c>
      <c r="B3" s="18">
        <f>IF(C3="","",TEXT(C3,"dddd"))</f>
        <v/>
      </c>
      <c r="C3" s="19" t="n"/>
      <c r="D3" s="20" t="n"/>
      <c r="E3" s="21" t="n"/>
      <c r="F3" s="21" t="n"/>
      <c r="G3" s="21" t="n"/>
      <c r="H3" s="22" t="n"/>
      <c r="I3" s="23" t="n"/>
      <c r="J3" s="22" t="n"/>
      <c r="K3" s="24" t="n"/>
      <c r="L3" s="24" t="n"/>
      <c r="M3" s="24" t="n"/>
      <c r="N3" s="21" t="n"/>
      <c r="O3" s="24" t="n"/>
      <c r="P3" s="19" t="n"/>
      <c r="Q3" s="20" t="n"/>
      <c r="R3" s="23" t="n"/>
      <c r="S3" s="23" t="n"/>
      <c r="T3" s="21" t="n"/>
      <c r="U3" s="21" t="n"/>
      <c r="V3" s="21" t="n"/>
      <c r="W3" s="21" t="n"/>
      <c r="X3" s="21" t="n"/>
      <c r="Y3" s="25">
        <f>IF($C3="","",IF(E3="XAUUSD",0.1,IF(ISNUMBER(SEARCH("JPY",E3)),0.01,0.0001)))</f>
        <v/>
      </c>
      <c r="Z3" s="18">
        <f>IF($C3="","",IF(F3="Sell",-1,1))</f>
        <v/>
      </c>
      <c r="AA3" s="18">
        <f>IF($C3="","",IF(E3="XAUUSD",100,100000))</f>
        <v/>
      </c>
      <c r="AB3" s="26">
        <f>IF(OR(K3="",L3=""),"",ABS(K3-L3)/Y3)</f>
        <v/>
      </c>
      <c r="AC3" s="26">
        <f>IF(OR(K3="",M3=""),"",ABS(M3-K3)/Y3)</f>
        <v/>
      </c>
      <c r="AD3" s="26">
        <f>IF(OR(K3="",O3=""),"",(O3-K3)*Z3/Y3)</f>
        <v/>
      </c>
      <c r="AE3" s="27">
        <f>IF(OR(AB3="",AB3=0,AC3=""),"",AC3/AB3)</f>
        <v/>
      </c>
      <c r="AF3" s="27">
        <f>IF(OR(AB3="",AB3=0,AD3=""),"",AD3/AB3)</f>
        <v/>
      </c>
      <c r="AG3" s="27">
        <f>IF(OR(C3="",P3=""),"",((P3+IF(Q3="",0,Q3))-(C3+IF(D3="",0,D3)))*24)</f>
        <v/>
      </c>
      <c r="AH3" s="18">
        <f>IF(AG3="","",INT(AG3/24)&amp;"d "&amp;INT(MOD(AG3,24))&amp;"h "&amp;INT(MOD(AG3*60,60))&amp;"m")</f>
        <v/>
      </c>
      <c r="AI3" s="28">
        <f>IF(OR(O3="",K3="",H3=""),"",IF(OR(E3="XAUUSD",RIGHT(E3,3)="USD"),(O3-K3)*Z3*AA3*H3,IF(LEFT(E3,3)="USD",IF(O3=0,"",(O3-K3)*Z3*AA3*H3/O3),AD3*10*H3)))</f>
        <v/>
      </c>
      <c r="AJ3" s="28">
        <f>IF(O3="","",IF(S3="",IF(AI3="",0,AI3),S3)-IF(R3="",0,R3))</f>
        <v/>
      </c>
      <c r="AK3" s="18">
        <f>IF(C3="","",IF(OR(O3="",P3=""),"Open",IF(ABS(AJ3)&lt;=BEThreshold,"BE",IF(AJ3&gt;0,"Win","Loss"))))</f>
        <v/>
      </c>
      <c r="AL3" s="28">
        <f>IF(OR(C3="",AK3="Open"),"",InitialCapital+SUMIFS($AJ$2:AJ3,$AK$2:AK3,"&lt;&gt;Open"))</f>
        <v/>
      </c>
      <c r="AM3" s="18">
        <f>IF(OR(C3="",AK3=""),"",IF(AK3="Open","No","Yes"))</f>
        <v/>
      </c>
    </row>
    <row r="4" ht="18" customHeight="1">
      <c r="A4" s="18">
        <f>IF(C4="","",COUNTA($C$2:C4))</f>
        <v/>
      </c>
      <c r="B4" s="18">
        <f>IF(C4="","",TEXT(C4,"dddd"))</f>
        <v/>
      </c>
      <c r="C4" s="19" t="n"/>
      <c r="D4" s="20" t="n"/>
      <c r="E4" s="21" t="n"/>
      <c r="F4" s="21" t="n"/>
      <c r="G4" s="21" t="n"/>
      <c r="H4" s="22" t="n"/>
      <c r="I4" s="23" t="n"/>
      <c r="J4" s="22" t="n"/>
      <c r="K4" s="24" t="n"/>
      <c r="L4" s="24" t="n"/>
      <c r="M4" s="24" t="n"/>
      <c r="N4" s="21" t="n"/>
      <c r="O4" s="24" t="n"/>
      <c r="P4" s="19" t="n"/>
      <c r="Q4" s="20" t="n"/>
      <c r="R4" s="23" t="n"/>
      <c r="S4" s="23" t="n"/>
      <c r="T4" s="21" t="n"/>
      <c r="U4" s="21" t="n"/>
      <c r="V4" s="21" t="n"/>
      <c r="W4" s="21" t="n"/>
      <c r="X4" s="21" t="n"/>
      <c r="Y4" s="25">
        <f>IF($C4="","",IF(E4="XAUUSD",0.1,IF(ISNUMBER(SEARCH("JPY",E4)),0.01,0.0001)))</f>
        <v/>
      </c>
      <c r="Z4" s="18">
        <f>IF($C4="","",IF(F4="Sell",-1,1))</f>
        <v/>
      </c>
      <c r="AA4" s="18">
        <f>IF($C4="","",IF(E4="XAUUSD",100,100000))</f>
        <v/>
      </c>
      <c r="AB4" s="26">
        <f>IF(OR(K4="",L4=""),"",ABS(K4-L4)/Y4)</f>
        <v/>
      </c>
      <c r="AC4" s="26">
        <f>IF(OR(K4="",M4=""),"",ABS(M4-K4)/Y4)</f>
        <v/>
      </c>
      <c r="AD4" s="26">
        <f>IF(OR(K4="",O4=""),"",(O4-K4)*Z4/Y4)</f>
        <v/>
      </c>
      <c r="AE4" s="27">
        <f>IF(OR(AB4="",AB4=0,AC4=""),"",AC4/AB4)</f>
        <v/>
      </c>
      <c r="AF4" s="27">
        <f>IF(OR(AB4="",AB4=0,AD4=""),"",AD4/AB4)</f>
        <v/>
      </c>
      <c r="AG4" s="27">
        <f>IF(OR(C4="",P4=""),"",((P4+IF(Q4="",0,Q4))-(C4+IF(D4="",0,D4)))*24)</f>
        <v/>
      </c>
      <c r="AH4" s="18">
        <f>IF(AG4="","",INT(AG4/24)&amp;"d "&amp;INT(MOD(AG4,24))&amp;"h "&amp;INT(MOD(AG4*60,60))&amp;"m")</f>
        <v/>
      </c>
      <c r="AI4" s="28">
        <f>IF(OR(O4="",K4="",H4=""),"",IF(OR(E4="XAUUSD",RIGHT(E4,3)="USD"),(O4-K4)*Z4*AA4*H4,IF(LEFT(E4,3)="USD",IF(O4=0,"",(O4-K4)*Z4*AA4*H4/O4),AD4*10*H4)))</f>
        <v/>
      </c>
      <c r="AJ4" s="28">
        <f>IF(O4="","",IF(S4="",IF(AI4="",0,AI4),S4)-IF(R4="",0,R4))</f>
        <v/>
      </c>
      <c r="AK4" s="18">
        <f>IF(C4="","",IF(OR(O4="",P4=""),"Open",IF(ABS(AJ4)&lt;=BEThreshold,"BE",IF(AJ4&gt;0,"Win","Loss"))))</f>
        <v/>
      </c>
      <c r="AL4" s="28">
        <f>IF(OR(C4="",AK4="Open"),"",InitialCapital+SUMIFS($AJ$2:AJ4,$AK$2:AK4,"&lt;&gt;Open"))</f>
        <v/>
      </c>
      <c r="AM4" s="18">
        <f>IF(OR(C4="",AK4=""),"",IF(AK4="Open","No","Yes"))</f>
        <v/>
      </c>
    </row>
    <row r="5" ht="18" customHeight="1">
      <c r="A5" s="18">
        <f>IF(C5="","",COUNTA($C$2:C5))</f>
        <v/>
      </c>
      <c r="B5" s="18">
        <f>IF(C5="","",TEXT(C5,"dddd"))</f>
        <v/>
      </c>
      <c r="C5" s="19" t="n"/>
      <c r="D5" s="20" t="n"/>
      <c r="E5" s="21" t="n"/>
      <c r="F5" s="21" t="n"/>
      <c r="G5" s="21" t="n"/>
      <c r="H5" s="22" t="n"/>
      <c r="I5" s="23" t="n"/>
      <c r="J5" s="22" t="n"/>
      <c r="K5" s="24" t="n"/>
      <c r="L5" s="24" t="n"/>
      <c r="M5" s="24" t="n"/>
      <c r="N5" s="21" t="n"/>
      <c r="O5" s="24" t="n"/>
      <c r="P5" s="19" t="n"/>
      <c r="Q5" s="20" t="n"/>
      <c r="R5" s="23" t="n"/>
      <c r="S5" s="23" t="n"/>
      <c r="T5" s="21" t="n"/>
      <c r="U5" s="21" t="n"/>
      <c r="V5" s="21" t="n"/>
      <c r="W5" s="21" t="n"/>
      <c r="X5" s="21" t="n"/>
      <c r="Y5" s="25">
        <f>IF($C5="","",IF(E5="XAUUSD",0.1,IF(ISNUMBER(SEARCH("JPY",E5)),0.01,0.0001)))</f>
        <v/>
      </c>
      <c r="Z5" s="18">
        <f>IF($C5="","",IF(F5="Sell",-1,1))</f>
        <v/>
      </c>
      <c r="AA5" s="18">
        <f>IF($C5="","",IF(E5="XAUUSD",100,100000))</f>
        <v/>
      </c>
      <c r="AB5" s="26">
        <f>IF(OR(K5="",L5=""),"",ABS(K5-L5)/Y5)</f>
        <v/>
      </c>
      <c r="AC5" s="26">
        <f>IF(OR(K5="",M5=""),"",ABS(M5-K5)/Y5)</f>
        <v/>
      </c>
      <c r="AD5" s="26">
        <f>IF(OR(K5="",O5=""),"",(O5-K5)*Z5/Y5)</f>
        <v/>
      </c>
      <c r="AE5" s="27">
        <f>IF(OR(AB5="",AB5=0,AC5=""),"",AC5/AB5)</f>
        <v/>
      </c>
      <c r="AF5" s="27">
        <f>IF(OR(AB5="",AB5=0,AD5=""),"",AD5/AB5)</f>
        <v/>
      </c>
      <c r="AG5" s="27">
        <f>IF(OR(C5="",P5=""),"",((P5+IF(Q5="",0,Q5))-(C5+IF(D5="",0,D5)))*24)</f>
        <v/>
      </c>
      <c r="AH5" s="18">
        <f>IF(AG5="","",INT(AG5/24)&amp;"d "&amp;INT(MOD(AG5,24))&amp;"h "&amp;INT(MOD(AG5*60,60))&amp;"m")</f>
        <v/>
      </c>
      <c r="AI5" s="28">
        <f>IF(OR(O5="",K5="",H5=""),"",IF(OR(E5="XAUUSD",RIGHT(E5,3)="USD"),(O5-K5)*Z5*AA5*H5,IF(LEFT(E5,3)="USD",IF(O5=0,"",(O5-K5)*Z5*AA5*H5/O5),AD5*10*H5)))</f>
        <v/>
      </c>
      <c r="AJ5" s="28">
        <f>IF(O5="","",IF(S5="",IF(AI5="",0,AI5),S5)-IF(R5="",0,R5))</f>
        <v/>
      </c>
      <c r="AK5" s="18">
        <f>IF(C5="","",IF(OR(O5="",P5=""),"Open",IF(ABS(AJ5)&lt;=BEThreshold,"BE",IF(AJ5&gt;0,"Win","Loss"))))</f>
        <v/>
      </c>
      <c r="AL5" s="28">
        <f>IF(OR(C5="",AK5="Open"),"",InitialCapital+SUMIFS($AJ$2:AJ5,$AK$2:AK5,"&lt;&gt;Open"))</f>
        <v/>
      </c>
      <c r="AM5" s="18">
        <f>IF(OR(C5="",AK5=""),"",IF(AK5="Open","No","Yes"))</f>
        <v/>
      </c>
    </row>
    <row r="6" ht="18" customHeight="1">
      <c r="A6" s="18">
        <f>IF(C6="","",COUNTA($C$2:C6))</f>
        <v/>
      </c>
      <c r="B6" s="18">
        <f>IF(C6="","",TEXT(C6,"dddd"))</f>
        <v/>
      </c>
      <c r="C6" s="19" t="n"/>
      <c r="D6" s="20" t="n"/>
      <c r="E6" s="21" t="n"/>
      <c r="F6" s="21" t="n"/>
      <c r="G6" s="21" t="n"/>
      <c r="H6" s="22" t="n"/>
      <c r="I6" s="23" t="n"/>
      <c r="J6" s="22" t="n"/>
      <c r="K6" s="24" t="n"/>
      <c r="L6" s="24" t="n"/>
      <c r="M6" s="24" t="n"/>
      <c r="N6" s="21" t="n"/>
      <c r="O6" s="24" t="n"/>
      <c r="P6" s="19" t="n"/>
      <c r="Q6" s="20" t="n"/>
      <c r="R6" s="23" t="n"/>
      <c r="S6" s="23" t="n"/>
      <c r="T6" s="21" t="n"/>
      <c r="U6" s="21" t="n"/>
      <c r="V6" s="21" t="n"/>
      <c r="W6" s="21" t="n"/>
      <c r="X6" s="21" t="n"/>
      <c r="Y6" s="25">
        <f>IF($C6="","",IF(E6="XAUUSD",0.1,IF(ISNUMBER(SEARCH("JPY",E6)),0.01,0.0001)))</f>
        <v/>
      </c>
      <c r="Z6" s="18">
        <f>IF($C6="","",IF(F6="Sell",-1,1))</f>
        <v/>
      </c>
      <c r="AA6" s="18">
        <f>IF($C6="","",IF(E6="XAUUSD",100,100000))</f>
        <v/>
      </c>
      <c r="AB6" s="26">
        <f>IF(OR(K6="",L6=""),"",ABS(K6-L6)/Y6)</f>
        <v/>
      </c>
      <c r="AC6" s="26">
        <f>IF(OR(K6="",M6=""),"",ABS(M6-K6)/Y6)</f>
        <v/>
      </c>
      <c r="AD6" s="26">
        <f>IF(OR(K6="",O6=""),"",(O6-K6)*Z6/Y6)</f>
        <v/>
      </c>
      <c r="AE6" s="27">
        <f>IF(OR(AB6="",AB6=0,AC6=""),"",AC6/AB6)</f>
        <v/>
      </c>
      <c r="AF6" s="27">
        <f>IF(OR(AB6="",AB6=0,AD6=""),"",AD6/AB6)</f>
        <v/>
      </c>
      <c r="AG6" s="27">
        <f>IF(OR(C6="",P6=""),"",((P6+IF(Q6="",0,Q6))-(C6+IF(D6="",0,D6)))*24)</f>
        <v/>
      </c>
      <c r="AH6" s="18">
        <f>IF(AG6="","",INT(AG6/24)&amp;"d "&amp;INT(MOD(AG6,24))&amp;"h "&amp;INT(MOD(AG6*60,60))&amp;"m")</f>
        <v/>
      </c>
      <c r="AI6" s="28">
        <f>IF(OR(O6="",K6="",H6=""),"",IF(OR(E6="XAUUSD",RIGHT(E6,3)="USD"),(O6-K6)*Z6*AA6*H6,IF(LEFT(E6,3)="USD",IF(O6=0,"",(O6-K6)*Z6*AA6*H6/O6),AD6*10*H6)))</f>
        <v/>
      </c>
      <c r="AJ6" s="28">
        <f>IF(O6="","",IF(S6="",IF(AI6="",0,AI6),S6)-IF(R6="",0,R6))</f>
        <v/>
      </c>
      <c r="AK6" s="18">
        <f>IF(C6="","",IF(OR(O6="",P6=""),"Open",IF(ABS(AJ6)&lt;=BEThreshold,"BE",IF(AJ6&gt;0,"Win","Loss"))))</f>
        <v/>
      </c>
      <c r="AL6" s="28">
        <f>IF(OR(C6="",AK6="Open"),"",InitialCapital+SUMIFS($AJ$2:AJ6,$AK$2:AK6,"&lt;&gt;Open"))</f>
        <v/>
      </c>
      <c r="AM6" s="18">
        <f>IF(OR(C6="",AK6=""),"",IF(AK6="Open","No","Yes"))</f>
        <v/>
      </c>
    </row>
    <row r="7" ht="18" customHeight="1">
      <c r="A7" s="18">
        <f>IF(C7="","",COUNTA($C$2:C7))</f>
        <v/>
      </c>
      <c r="B7" s="18">
        <f>IF(C7="","",TEXT(C7,"dddd"))</f>
        <v/>
      </c>
      <c r="C7" s="19" t="n"/>
      <c r="D7" s="20" t="n"/>
      <c r="E7" s="21" t="n"/>
      <c r="F7" s="21" t="n"/>
      <c r="G7" s="21" t="n"/>
      <c r="H7" s="22" t="n"/>
      <c r="I7" s="23" t="n"/>
      <c r="J7" s="22" t="n"/>
      <c r="K7" s="24" t="n"/>
      <c r="L7" s="24" t="n"/>
      <c r="M7" s="24" t="n"/>
      <c r="N7" s="21" t="n"/>
      <c r="O7" s="24" t="n"/>
      <c r="P7" s="19" t="n"/>
      <c r="Q7" s="20" t="n"/>
      <c r="R7" s="23" t="n"/>
      <c r="S7" s="23" t="n"/>
      <c r="T7" s="21" t="n"/>
      <c r="U7" s="21" t="n"/>
      <c r="V7" s="21" t="n"/>
      <c r="W7" s="21" t="n"/>
      <c r="X7" s="21" t="n"/>
      <c r="Y7" s="25">
        <f>IF($C7="","",IF(E7="XAUUSD",0.1,IF(ISNUMBER(SEARCH("JPY",E7)),0.01,0.0001)))</f>
        <v/>
      </c>
      <c r="Z7" s="18">
        <f>IF($C7="","",IF(F7="Sell",-1,1))</f>
        <v/>
      </c>
      <c r="AA7" s="18">
        <f>IF($C7="","",IF(E7="XAUUSD",100,100000))</f>
        <v/>
      </c>
      <c r="AB7" s="26">
        <f>IF(OR(K7="",L7=""),"",ABS(K7-L7)/Y7)</f>
        <v/>
      </c>
      <c r="AC7" s="26">
        <f>IF(OR(K7="",M7=""),"",ABS(M7-K7)/Y7)</f>
        <v/>
      </c>
      <c r="AD7" s="26">
        <f>IF(OR(K7="",O7=""),"",(O7-K7)*Z7/Y7)</f>
        <v/>
      </c>
      <c r="AE7" s="27">
        <f>IF(OR(AB7="",AB7=0,AC7=""),"",AC7/AB7)</f>
        <v/>
      </c>
      <c r="AF7" s="27">
        <f>IF(OR(AB7="",AB7=0,AD7=""),"",AD7/AB7)</f>
        <v/>
      </c>
      <c r="AG7" s="27">
        <f>IF(OR(C7="",P7=""),"",((P7+IF(Q7="",0,Q7))-(C7+IF(D7="",0,D7)))*24)</f>
        <v/>
      </c>
      <c r="AH7" s="18">
        <f>IF(AG7="","",INT(AG7/24)&amp;"d "&amp;INT(MOD(AG7,24))&amp;"h "&amp;INT(MOD(AG7*60,60))&amp;"m")</f>
        <v/>
      </c>
      <c r="AI7" s="28">
        <f>IF(OR(O7="",K7="",H7=""),"",IF(OR(E7="XAUUSD",RIGHT(E7,3)="USD"),(O7-K7)*Z7*AA7*H7,IF(LEFT(E7,3)="USD",IF(O7=0,"",(O7-K7)*Z7*AA7*H7/O7),AD7*10*H7)))</f>
        <v/>
      </c>
      <c r="AJ7" s="28">
        <f>IF(O7="","",IF(S7="",IF(AI7="",0,AI7),S7)-IF(R7="",0,R7))</f>
        <v/>
      </c>
      <c r="AK7" s="18">
        <f>IF(C7="","",IF(OR(O7="",P7=""),"Open",IF(ABS(AJ7)&lt;=BEThreshold,"BE",IF(AJ7&gt;0,"Win","Loss"))))</f>
        <v/>
      </c>
      <c r="AL7" s="28">
        <f>IF(OR(C7="",AK7="Open"),"",InitialCapital+SUMIFS($AJ$2:AJ7,$AK$2:AK7,"&lt;&gt;Open"))</f>
        <v/>
      </c>
      <c r="AM7" s="18">
        <f>IF(OR(C7="",AK7=""),"",IF(AK7="Open","No","Yes"))</f>
        <v/>
      </c>
    </row>
    <row r="8" ht="18" customHeight="1">
      <c r="A8" s="18">
        <f>IF(C8="","",COUNTA($C$2:C8))</f>
        <v/>
      </c>
      <c r="B8" s="18">
        <f>IF(C8="","",TEXT(C8,"dddd"))</f>
        <v/>
      </c>
      <c r="C8" s="19" t="n"/>
      <c r="D8" s="20" t="n"/>
      <c r="E8" s="21" t="n"/>
      <c r="F8" s="21" t="n"/>
      <c r="G8" s="21" t="n"/>
      <c r="H8" s="22" t="n"/>
      <c r="I8" s="23" t="n"/>
      <c r="J8" s="22" t="n"/>
      <c r="K8" s="24" t="n"/>
      <c r="L8" s="24" t="n"/>
      <c r="M8" s="24" t="n"/>
      <c r="N8" s="21" t="n"/>
      <c r="O8" s="24" t="n"/>
      <c r="P8" s="19" t="n"/>
      <c r="Q8" s="20" t="n"/>
      <c r="R8" s="23" t="n"/>
      <c r="S8" s="23" t="n"/>
      <c r="T8" s="21" t="n"/>
      <c r="U8" s="21" t="n"/>
      <c r="V8" s="21" t="n"/>
      <c r="W8" s="21" t="n"/>
      <c r="X8" s="21" t="n"/>
      <c r="Y8" s="25">
        <f>IF($C8="","",IF(E8="XAUUSD",0.1,IF(ISNUMBER(SEARCH("JPY",E8)),0.01,0.0001)))</f>
        <v/>
      </c>
      <c r="Z8" s="18">
        <f>IF($C8="","",IF(F8="Sell",-1,1))</f>
        <v/>
      </c>
      <c r="AA8" s="18">
        <f>IF($C8="","",IF(E8="XAUUSD",100,100000))</f>
        <v/>
      </c>
      <c r="AB8" s="26">
        <f>IF(OR(K8="",L8=""),"",ABS(K8-L8)/Y8)</f>
        <v/>
      </c>
      <c r="AC8" s="26">
        <f>IF(OR(K8="",M8=""),"",ABS(M8-K8)/Y8)</f>
        <v/>
      </c>
      <c r="AD8" s="26">
        <f>IF(OR(K8="",O8=""),"",(O8-K8)*Z8/Y8)</f>
        <v/>
      </c>
      <c r="AE8" s="27">
        <f>IF(OR(AB8="",AB8=0,AC8=""),"",AC8/AB8)</f>
        <v/>
      </c>
      <c r="AF8" s="27">
        <f>IF(OR(AB8="",AB8=0,AD8=""),"",AD8/AB8)</f>
        <v/>
      </c>
      <c r="AG8" s="27">
        <f>IF(OR(C8="",P8=""),"",((P8+IF(Q8="",0,Q8))-(C8+IF(D8="",0,D8)))*24)</f>
        <v/>
      </c>
      <c r="AH8" s="18">
        <f>IF(AG8="","",INT(AG8/24)&amp;"d "&amp;INT(MOD(AG8,24))&amp;"h "&amp;INT(MOD(AG8*60,60))&amp;"m")</f>
        <v/>
      </c>
      <c r="AI8" s="28">
        <f>IF(OR(O8="",K8="",H8=""),"",IF(OR(E8="XAUUSD",RIGHT(E8,3)="USD"),(O8-K8)*Z8*AA8*H8,IF(LEFT(E8,3)="USD",IF(O8=0,"",(O8-K8)*Z8*AA8*H8/O8),AD8*10*H8)))</f>
        <v/>
      </c>
      <c r="AJ8" s="28">
        <f>IF(O8="","",IF(S8="",IF(AI8="",0,AI8),S8)-IF(R8="",0,R8))</f>
        <v/>
      </c>
      <c r="AK8" s="18">
        <f>IF(C8="","",IF(OR(O8="",P8=""),"Open",IF(ABS(AJ8)&lt;=BEThreshold,"BE",IF(AJ8&gt;0,"Win","Loss"))))</f>
        <v/>
      </c>
      <c r="AL8" s="28">
        <f>IF(OR(C8="",AK8="Open"),"",InitialCapital+SUMIFS($AJ$2:AJ8,$AK$2:AK8,"&lt;&gt;Open"))</f>
        <v/>
      </c>
      <c r="AM8" s="18">
        <f>IF(OR(C8="",AK8=""),"",IF(AK8="Open","No","Yes"))</f>
        <v/>
      </c>
    </row>
    <row r="9" ht="18" customHeight="1">
      <c r="A9" s="18">
        <f>IF(C9="","",COUNTA($C$2:C9))</f>
        <v/>
      </c>
      <c r="B9" s="18">
        <f>IF(C9="","",TEXT(C9,"dddd"))</f>
        <v/>
      </c>
      <c r="C9" s="19" t="n"/>
      <c r="D9" s="20" t="n"/>
      <c r="E9" s="21" t="n"/>
      <c r="F9" s="21" t="n"/>
      <c r="G9" s="21" t="n"/>
      <c r="H9" s="22" t="n"/>
      <c r="I9" s="23" t="n"/>
      <c r="J9" s="22" t="n"/>
      <c r="K9" s="24" t="n"/>
      <c r="L9" s="24" t="n"/>
      <c r="M9" s="24" t="n"/>
      <c r="N9" s="21" t="n"/>
      <c r="O9" s="24" t="n"/>
      <c r="P9" s="19" t="n"/>
      <c r="Q9" s="20" t="n"/>
      <c r="R9" s="23" t="n"/>
      <c r="S9" s="23" t="n"/>
      <c r="T9" s="21" t="n"/>
      <c r="U9" s="21" t="n"/>
      <c r="V9" s="21" t="n"/>
      <c r="W9" s="21" t="n"/>
      <c r="X9" s="21" t="n"/>
      <c r="Y9" s="25">
        <f>IF($C9="","",IF(E9="XAUUSD",0.1,IF(ISNUMBER(SEARCH("JPY",E9)),0.01,0.0001)))</f>
        <v/>
      </c>
      <c r="Z9" s="18">
        <f>IF($C9="","",IF(F9="Sell",-1,1))</f>
        <v/>
      </c>
      <c r="AA9" s="18">
        <f>IF($C9="","",IF(E9="XAUUSD",100,100000))</f>
        <v/>
      </c>
      <c r="AB9" s="26">
        <f>IF(OR(K9="",L9=""),"",ABS(K9-L9)/Y9)</f>
        <v/>
      </c>
      <c r="AC9" s="26">
        <f>IF(OR(K9="",M9=""),"",ABS(M9-K9)/Y9)</f>
        <v/>
      </c>
      <c r="AD9" s="26">
        <f>IF(OR(K9="",O9=""),"",(O9-K9)*Z9/Y9)</f>
        <v/>
      </c>
      <c r="AE9" s="27">
        <f>IF(OR(AB9="",AB9=0,AC9=""),"",AC9/AB9)</f>
        <v/>
      </c>
      <c r="AF9" s="27">
        <f>IF(OR(AB9="",AB9=0,AD9=""),"",AD9/AB9)</f>
        <v/>
      </c>
      <c r="AG9" s="27">
        <f>IF(OR(C9="",P9=""),"",((P9+IF(Q9="",0,Q9))-(C9+IF(D9="",0,D9)))*24)</f>
        <v/>
      </c>
      <c r="AH9" s="18">
        <f>IF(AG9="","",INT(AG9/24)&amp;"d "&amp;INT(MOD(AG9,24))&amp;"h "&amp;INT(MOD(AG9*60,60))&amp;"m")</f>
        <v/>
      </c>
      <c r="AI9" s="28">
        <f>IF(OR(O9="",K9="",H9=""),"",IF(OR(E9="XAUUSD",RIGHT(E9,3)="USD"),(O9-K9)*Z9*AA9*H9,IF(LEFT(E9,3)="USD",IF(O9=0,"",(O9-K9)*Z9*AA9*H9/O9),AD9*10*H9)))</f>
        <v/>
      </c>
      <c r="AJ9" s="28">
        <f>IF(O9="","",IF(S9="",IF(AI9="",0,AI9),S9)-IF(R9="",0,R9))</f>
        <v/>
      </c>
      <c r="AK9" s="18">
        <f>IF(C9="","",IF(OR(O9="",P9=""),"Open",IF(ABS(AJ9)&lt;=BEThreshold,"BE",IF(AJ9&gt;0,"Win","Loss"))))</f>
        <v/>
      </c>
      <c r="AL9" s="28">
        <f>IF(OR(C9="",AK9="Open"),"",InitialCapital+SUMIFS($AJ$2:AJ9,$AK$2:AK9,"&lt;&gt;Open"))</f>
        <v/>
      </c>
      <c r="AM9" s="18">
        <f>IF(OR(C9="",AK9=""),"",IF(AK9="Open","No","Yes"))</f>
        <v/>
      </c>
    </row>
    <row r="10" ht="18" customHeight="1">
      <c r="A10" s="18">
        <f>IF(C10="","",COUNTA($C$2:C10))</f>
        <v/>
      </c>
      <c r="B10" s="18">
        <f>IF(C10="","",TEXT(C10,"dddd"))</f>
        <v/>
      </c>
      <c r="C10" s="19" t="n"/>
      <c r="D10" s="20" t="n"/>
      <c r="E10" s="21" t="n"/>
      <c r="F10" s="21" t="n"/>
      <c r="G10" s="21" t="n"/>
      <c r="H10" s="22" t="n"/>
      <c r="I10" s="23" t="n"/>
      <c r="J10" s="22" t="n"/>
      <c r="K10" s="24" t="n"/>
      <c r="L10" s="24" t="n"/>
      <c r="M10" s="24" t="n"/>
      <c r="N10" s="21" t="n"/>
      <c r="O10" s="24" t="n"/>
      <c r="P10" s="19" t="n"/>
      <c r="Q10" s="20" t="n"/>
      <c r="R10" s="23" t="n"/>
      <c r="S10" s="23" t="n"/>
      <c r="T10" s="21" t="n"/>
      <c r="U10" s="21" t="n"/>
      <c r="V10" s="21" t="n"/>
      <c r="W10" s="21" t="n"/>
      <c r="X10" s="21" t="n"/>
      <c r="Y10" s="25">
        <f>IF($C10="","",IF(E10="XAUUSD",0.1,IF(ISNUMBER(SEARCH("JPY",E10)),0.01,0.0001)))</f>
        <v/>
      </c>
      <c r="Z10" s="18">
        <f>IF($C10="","",IF(F10="Sell",-1,1))</f>
        <v/>
      </c>
      <c r="AA10" s="18">
        <f>IF($C10="","",IF(E10="XAUUSD",100,100000))</f>
        <v/>
      </c>
      <c r="AB10" s="26">
        <f>IF(OR(K10="",L10=""),"",ABS(K10-L10)/Y10)</f>
        <v/>
      </c>
      <c r="AC10" s="26">
        <f>IF(OR(K10="",M10=""),"",ABS(M10-K10)/Y10)</f>
        <v/>
      </c>
      <c r="AD10" s="26">
        <f>IF(OR(K10="",O10=""),"",(O10-K10)*Z10/Y10)</f>
        <v/>
      </c>
      <c r="AE10" s="27">
        <f>IF(OR(AB10="",AB10=0,AC10=""),"",AC10/AB10)</f>
        <v/>
      </c>
      <c r="AF10" s="27">
        <f>IF(OR(AB10="",AB10=0,AD10=""),"",AD10/AB10)</f>
        <v/>
      </c>
      <c r="AG10" s="27">
        <f>IF(OR(C10="",P10=""),"",((P10+IF(Q10="",0,Q10))-(C10+IF(D10="",0,D10)))*24)</f>
        <v/>
      </c>
      <c r="AH10" s="18">
        <f>IF(AG10="","",INT(AG10/24)&amp;"d "&amp;INT(MOD(AG10,24))&amp;"h "&amp;INT(MOD(AG10*60,60))&amp;"m")</f>
        <v/>
      </c>
      <c r="AI10" s="28">
        <f>IF(OR(O10="",K10="",H10=""),"",IF(OR(E10="XAUUSD",RIGHT(E10,3)="USD"),(O10-K10)*Z10*AA10*H10,IF(LEFT(E10,3)="USD",IF(O10=0,"",(O10-K10)*Z10*AA10*H10/O10),AD10*10*H10)))</f>
        <v/>
      </c>
      <c r="AJ10" s="28">
        <f>IF(O10="","",IF(S10="",IF(AI10="",0,AI10),S10)-IF(R10="",0,R10))</f>
        <v/>
      </c>
      <c r="AK10" s="18">
        <f>IF(C10="","",IF(OR(O10="",P10=""),"Open",IF(ABS(AJ10)&lt;=BEThreshold,"BE",IF(AJ10&gt;0,"Win","Loss"))))</f>
        <v/>
      </c>
      <c r="AL10" s="28">
        <f>IF(OR(C10="",AK10="Open"),"",InitialCapital+SUMIFS($AJ$2:AJ10,$AK$2:AK10,"&lt;&gt;Open"))</f>
        <v/>
      </c>
      <c r="AM10" s="18">
        <f>IF(OR(C10="",AK10=""),"",IF(AK10="Open","No","Yes"))</f>
        <v/>
      </c>
    </row>
    <row r="11" ht="18" customHeight="1">
      <c r="A11" s="18">
        <f>IF(C11="","",COUNTA($C$2:C11))</f>
        <v/>
      </c>
      <c r="B11" s="18">
        <f>IF(C11="","",TEXT(C11,"dddd"))</f>
        <v/>
      </c>
      <c r="C11" s="19" t="n"/>
      <c r="D11" s="20" t="n"/>
      <c r="E11" s="21" t="n"/>
      <c r="F11" s="21" t="n"/>
      <c r="G11" s="21" t="n"/>
      <c r="H11" s="22" t="n"/>
      <c r="I11" s="23" t="n"/>
      <c r="J11" s="22" t="n"/>
      <c r="K11" s="24" t="n"/>
      <c r="L11" s="24" t="n"/>
      <c r="M11" s="24" t="n"/>
      <c r="N11" s="21" t="n"/>
      <c r="O11" s="24" t="n"/>
      <c r="P11" s="19" t="n"/>
      <c r="Q11" s="20" t="n"/>
      <c r="R11" s="23" t="n"/>
      <c r="S11" s="23" t="n"/>
      <c r="T11" s="21" t="n"/>
      <c r="U11" s="21" t="n"/>
      <c r="V11" s="21" t="n"/>
      <c r="W11" s="21" t="n"/>
      <c r="X11" s="21" t="n"/>
      <c r="Y11" s="25">
        <f>IF($C11="","",IF(E11="XAUUSD",0.1,IF(ISNUMBER(SEARCH("JPY",E11)),0.01,0.0001)))</f>
        <v/>
      </c>
      <c r="Z11" s="18">
        <f>IF($C11="","",IF(F11="Sell",-1,1))</f>
        <v/>
      </c>
      <c r="AA11" s="18">
        <f>IF($C11="","",IF(E11="XAUUSD",100,100000))</f>
        <v/>
      </c>
      <c r="AB11" s="26">
        <f>IF(OR(K11="",L11=""),"",ABS(K11-L11)/Y11)</f>
        <v/>
      </c>
      <c r="AC11" s="26">
        <f>IF(OR(K11="",M11=""),"",ABS(M11-K11)/Y11)</f>
        <v/>
      </c>
      <c r="AD11" s="26">
        <f>IF(OR(K11="",O11=""),"",(O11-K11)*Z11/Y11)</f>
        <v/>
      </c>
      <c r="AE11" s="27">
        <f>IF(OR(AB11="",AB11=0,AC11=""),"",AC11/AB11)</f>
        <v/>
      </c>
      <c r="AF11" s="27">
        <f>IF(OR(AB11="",AB11=0,AD11=""),"",AD11/AB11)</f>
        <v/>
      </c>
      <c r="AG11" s="27">
        <f>IF(OR(C11="",P11=""),"",((P11+IF(Q11="",0,Q11))-(C11+IF(D11="",0,D11)))*24)</f>
        <v/>
      </c>
      <c r="AH11" s="18">
        <f>IF(AG11="","",INT(AG11/24)&amp;"d "&amp;INT(MOD(AG11,24))&amp;"h "&amp;INT(MOD(AG11*60,60))&amp;"m")</f>
        <v/>
      </c>
      <c r="AI11" s="28">
        <f>IF(OR(O11="",K11="",H11=""),"",IF(OR(E11="XAUUSD",RIGHT(E11,3)="USD"),(O11-K11)*Z11*AA11*H11,IF(LEFT(E11,3)="USD",IF(O11=0,"",(O11-K11)*Z11*AA11*H11/O11),AD11*10*H11)))</f>
        <v/>
      </c>
      <c r="AJ11" s="28">
        <f>IF(O11="","",IF(S11="",IF(AI11="",0,AI11),S11)-IF(R11="",0,R11))</f>
        <v/>
      </c>
      <c r="AK11" s="18">
        <f>IF(C11="","",IF(OR(O11="",P11=""),"Open",IF(ABS(AJ11)&lt;=BEThreshold,"BE",IF(AJ11&gt;0,"Win","Loss"))))</f>
        <v/>
      </c>
      <c r="AL11" s="28">
        <f>IF(OR(C11="",AK11="Open"),"",InitialCapital+SUMIFS($AJ$2:AJ11,$AK$2:AK11,"&lt;&gt;Open"))</f>
        <v/>
      </c>
      <c r="AM11" s="18">
        <f>IF(OR(C11="",AK11=""),"",IF(AK11="Open","No","Yes"))</f>
        <v/>
      </c>
    </row>
    <row r="12" ht="18" customHeight="1">
      <c r="A12" s="18">
        <f>IF(C12="","",COUNTA($C$2:C12))</f>
        <v/>
      </c>
      <c r="B12" s="18">
        <f>IF(C12="","",TEXT(C12,"dddd"))</f>
        <v/>
      </c>
      <c r="C12" s="19" t="n"/>
      <c r="D12" s="20" t="n"/>
      <c r="E12" s="21" t="n"/>
      <c r="F12" s="21" t="n"/>
      <c r="G12" s="21" t="n"/>
      <c r="H12" s="22" t="n"/>
      <c r="I12" s="23" t="n"/>
      <c r="J12" s="22" t="n"/>
      <c r="K12" s="24" t="n"/>
      <c r="L12" s="24" t="n"/>
      <c r="M12" s="24" t="n"/>
      <c r="N12" s="21" t="n"/>
      <c r="O12" s="24" t="n"/>
      <c r="P12" s="19" t="n"/>
      <c r="Q12" s="20" t="n"/>
      <c r="R12" s="23" t="n"/>
      <c r="S12" s="23" t="n"/>
      <c r="T12" s="21" t="n"/>
      <c r="U12" s="21" t="n"/>
      <c r="V12" s="21" t="n"/>
      <c r="W12" s="21" t="n"/>
      <c r="X12" s="21" t="n"/>
      <c r="Y12" s="25">
        <f>IF($C12="","",IF(E12="XAUUSD",0.1,IF(ISNUMBER(SEARCH("JPY",E12)),0.01,0.0001)))</f>
        <v/>
      </c>
      <c r="Z12" s="18">
        <f>IF($C12="","",IF(F12="Sell",-1,1))</f>
        <v/>
      </c>
      <c r="AA12" s="18">
        <f>IF($C12="","",IF(E12="XAUUSD",100,100000))</f>
        <v/>
      </c>
      <c r="AB12" s="26">
        <f>IF(OR(K12="",L12=""),"",ABS(K12-L12)/Y12)</f>
        <v/>
      </c>
      <c r="AC12" s="26">
        <f>IF(OR(K12="",M12=""),"",ABS(M12-K12)/Y12)</f>
        <v/>
      </c>
      <c r="AD12" s="26">
        <f>IF(OR(K12="",O12=""),"",(O12-K12)*Z12/Y12)</f>
        <v/>
      </c>
      <c r="AE12" s="27">
        <f>IF(OR(AB12="",AB12=0,AC12=""),"",AC12/AB12)</f>
        <v/>
      </c>
      <c r="AF12" s="27">
        <f>IF(OR(AB12="",AB12=0,AD12=""),"",AD12/AB12)</f>
        <v/>
      </c>
      <c r="AG12" s="27">
        <f>IF(OR(C12="",P12=""),"",((P12+IF(Q12="",0,Q12))-(C12+IF(D12="",0,D12)))*24)</f>
        <v/>
      </c>
      <c r="AH12" s="18">
        <f>IF(AG12="","",INT(AG12/24)&amp;"d "&amp;INT(MOD(AG12,24))&amp;"h "&amp;INT(MOD(AG12*60,60))&amp;"m")</f>
        <v/>
      </c>
      <c r="AI12" s="28">
        <f>IF(OR(O12="",K12="",H12=""),"",IF(OR(E12="XAUUSD",RIGHT(E12,3)="USD"),(O12-K12)*Z12*AA12*H12,IF(LEFT(E12,3)="USD",IF(O12=0,"",(O12-K12)*Z12*AA12*H12/O12),AD12*10*H12)))</f>
        <v/>
      </c>
      <c r="AJ12" s="28">
        <f>IF(O12="","",IF(S12="",IF(AI12="",0,AI12),S12)-IF(R12="",0,R12))</f>
        <v/>
      </c>
      <c r="AK12" s="18">
        <f>IF(C12="","",IF(OR(O12="",P12=""),"Open",IF(ABS(AJ12)&lt;=BEThreshold,"BE",IF(AJ12&gt;0,"Win","Loss"))))</f>
        <v/>
      </c>
      <c r="AL12" s="28">
        <f>IF(OR(C12="",AK12="Open"),"",InitialCapital+SUMIFS($AJ$2:AJ12,$AK$2:AK12,"&lt;&gt;Open"))</f>
        <v/>
      </c>
      <c r="AM12" s="18">
        <f>IF(OR(C12="",AK12=""),"",IF(AK12="Open","No","Yes"))</f>
        <v/>
      </c>
    </row>
    <row r="13" ht="18" customHeight="1">
      <c r="A13" s="18">
        <f>IF(C13="","",COUNTA($C$2:C13))</f>
        <v/>
      </c>
      <c r="B13" s="18">
        <f>IF(C13="","",TEXT(C13,"dddd"))</f>
        <v/>
      </c>
      <c r="C13" s="19" t="n"/>
      <c r="D13" s="20" t="n"/>
      <c r="E13" s="21" t="n"/>
      <c r="F13" s="21" t="n"/>
      <c r="G13" s="21" t="n"/>
      <c r="H13" s="22" t="n"/>
      <c r="I13" s="23" t="n"/>
      <c r="J13" s="22" t="n"/>
      <c r="K13" s="24" t="n"/>
      <c r="L13" s="24" t="n"/>
      <c r="M13" s="24" t="n"/>
      <c r="N13" s="21" t="n"/>
      <c r="O13" s="24" t="n"/>
      <c r="P13" s="19" t="n"/>
      <c r="Q13" s="20" t="n"/>
      <c r="R13" s="23" t="n"/>
      <c r="S13" s="23" t="n"/>
      <c r="T13" s="21" t="n"/>
      <c r="U13" s="21" t="n"/>
      <c r="V13" s="21" t="n"/>
      <c r="W13" s="21" t="n"/>
      <c r="X13" s="21" t="n"/>
      <c r="Y13" s="25">
        <f>IF($C13="","",IF(E13="XAUUSD",0.1,IF(ISNUMBER(SEARCH("JPY",E13)),0.01,0.0001)))</f>
        <v/>
      </c>
      <c r="Z13" s="18">
        <f>IF($C13="","",IF(F13="Sell",-1,1))</f>
        <v/>
      </c>
      <c r="AA13" s="18">
        <f>IF($C13="","",IF(E13="XAUUSD",100,100000))</f>
        <v/>
      </c>
      <c r="AB13" s="26">
        <f>IF(OR(K13="",L13=""),"",ABS(K13-L13)/Y13)</f>
        <v/>
      </c>
      <c r="AC13" s="26">
        <f>IF(OR(K13="",M13=""),"",ABS(M13-K13)/Y13)</f>
        <v/>
      </c>
      <c r="AD13" s="26">
        <f>IF(OR(K13="",O13=""),"",(O13-K13)*Z13/Y13)</f>
        <v/>
      </c>
      <c r="AE13" s="27">
        <f>IF(OR(AB13="",AB13=0,AC13=""),"",AC13/AB13)</f>
        <v/>
      </c>
      <c r="AF13" s="27">
        <f>IF(OR(AB13="",AB13=0,AD13=""),"",AD13/AB13)</f>
        <v/>
      </c>
      <c r="AG13" s="27">
        <f>IF(OR(C13="",P13=""),"",((P13+IF(Q13="",0,Q13))-(C13+IF(D13="",0,D13)))*24)</f>
        <v/>
      </c>
      <c r="AH13" s="18">
        <f>IF(AG13="","",INT(AG13/24)&amp;"d "&amp;INT(MOD(AG13,24))&amp;"h "&amp;INT(MOD(AG13*60,60))&amp;"m")</f>
        <v/>
      </c>
      <c r="AI13" s="28">
        <f>IF(OR(O13="",K13="",H13=""),"",IF(OR(E13="XAUUSD",RIGHT(E13,3)="USD"),(O13-K13)*Z13*AA13*H13,IF(LEFT(E13,3)="USD",IF(O13=0,"",(O13-K13)*Z13*AA13*H13/O13),AD13*10*H13)))</f>
        <v/>
      </c>
      <c r="AJ13" s="28">
        <f>IF(O13="","",IF(S13="",IF(AI13="",0,AI13),S13)-IF(R13="",0,R13))</f>
        <v/>
      </c>
      <c r="AK13" s="18">
        <f>IF(C13="","",IF(OR(O13="",P13=""),"Open",IF(ABS(AJ13)&lt;=BEThreshold,"BE",IF(AJ13&gt;0,"Win","Loss"))))</f>
        <v/>
      </c>
      <c r="AL13" s="28">
        <f>IF(OR(C13="",AK13="Open"),"",InitialCapital+SUMIFS($AJ$2:AJ13,$AK$2:AK13,"&lt;&gt;Open"))</f>
        <v/>
      </c>
      <c r="AM13" s="18">
        <f>IF(OR(C13="",AK13=""),"",IF(AK13="Open","No","Yes"))</f>
        <v/>
      </c>
    </row>
    <row r="14" ht="18" customHeight="1">
      <c r="A14" s="18">
        <f>IF(C14="","",COUNTA($C$2:C14))</f>
        <v/>
      </c>
      <c r="B14" s="18">
        <f>IF(C14="","",TEXT(C14,"dddd"))</f>
        <v/>
      </c>
      <c r="C14" s="19" t="n"/>
      <c r="D14" s="20" t="n"/>
      <c r="E14" s="21" t="n"/>
      <c r="F14" s="21" t="n"/>
      <c r="G14" s="21" t="n"/>
      <c r="H14" s="22" t="n"/>
      <c r="I14" s="23" t="n"/>
      <c r="J14" s="22" t="n"/>
      <c r="K14" s="24" t="n"/>
      <c r="L14" s="24" t="n"/>
      <c r="M14" s="24" t="n"/>
      <c r="N14" s="21" t="n"/>
      <c r="O14" s="24" t="n"/>
      <c r="P14" s="19" t="n"/>
      <c r="Q14" s="20" t="n"/>
      <c r="R14" s="23" t="n"/>
      <c r="S14" s="23" t="n"/>
      <c r="T14" s="21" t="n"/>
      <c r="U14" s="21" t="n"/>
      <c r="V14" s="21" t="n"/>
      <c r="W14" s="21" t="n"/>
      <c r="X14" s="21" t="n"/>
      <c r="Y14" s="25">
        <f>IF($C14="","",IF(E14="XAUUSD",0.1,IF(ISNUMBER(SEARCH("JPY",E14)),0.01,0.0001)))</f>
        <v/>
      </c>
      <c r="Z14" s="18">
        <f>IF($C14="","",IF(F14="Sell",-1,1))</f>
        <v/>
      </c>
      <c r="AA14" s="18">
        <f>IF($C14="","",IF(E14="XAUUSD",100,100000))</f>
        <v/>
      </c>
      <c r="AB14" s="26">
        <f>IF(OR(K14="",L14=""),"",ABS(K14-L14)/Y14)</f>
        <v/>
      </c>
      <c r="AC14" s="26">
        <f>IF(OR(K14="",M14=""),"",ABS(M14-K14)/Y14)</f>
        <v/>
      </c>
      <c r="AD14" s="26">
        <f>IF(OR(K14="",O14=""),"",(O14-K14)*Z14/Y14)</f>
        <v/>
      </c>
      <c r="AE14" s="27">
        <f>IF(OR(AB14="",AB14=0,AC14=""),"",AC14/AB14)</f>
        <v/>
      </c>
      <c r="AF14" s="27">
        <f>IF(OR(AB14="",AB14=0,AD14=""),"",AD14/AB14)</f>
        <v/>
      </c>
      <c r="AG14" s="27">
        <f>IF(OR(C14="",P14=""),"",((P14+IF(Q14="",0,Q14))-(C14+IF(D14="",0,D14)))*24)</f>
        <v/>
      </c>
      <c r="AH14" s="18">
        <f>IF(AG14="","",INT(AG14/24)&amp;"d "&amp;INT(MOD(AG14,24))&amp;"h "&amp;INT(MOD(AG14*60,60))&amp;"m")</f>
        <v/>
      </c>
      <c r="AI14" s="28">
        <f>IF(OR(O14="",K14="",H14=""),"",IF(OR(E14="XAUUSD",RIGHT(E14,3)="USD"),(O14-K14)*Z14*AA14*H14,IF(LEFT(E14,3)="USD",IF(O14=0,"",(O14-K14)*Z14*AA14*H14/O14),AD14*10*H14)))</f>
        <v/>
      </c>
      <c r="AJ14" s="28">
        <f>IF(O14="","",IF(S14="",IF(AI14="",0,AI14),S14)-IF(R14="",0,R14))</f>
        <v/>
      </c>
      <c r="AK14" s="18">
        <f>IF(C14="","",IF(OR(O14="",P14=""),"Open",IF(ABS(AJ14)&lt;=BEThreshold,"BE",IF(AJ14&gt;0,"Win","Loss"))))</f>
        <v/>
      </c>
      <c r="AL14" s="28">
        <f>IF(OR(C14="",AK14="Open"),"",InitialCapital+SUMIFS($AJ$2:AJ14,$AK$2:AK14,"&lt;&gt;Open"))</f>
        <v/>
      </c>
      <c r="AM14" s="18">
        <f>IF(OR(C14="",AK14=""),"",IF(AK14="Open","No","Yes"))</f>
        <v/>
      </c>
    </row>
    <row r="15" ht="18" customHeight="1">
      <c r="A15" s="18">
        <f>IF(C15="","",COUNTA($C$2:C15))</f>
        <v/>
      </c>
      <c r="B15" s="18">
        <f>IF(C15="","",TEXT(C15,"dddd"))</f>
        <v/>
      </c>
      <c r="C15" s="19" t="n"/>
      <c r="D15" s="20" t="n"/>
      <c r="E15" s="21" t="n"/>
      <c r="F15" s="21" t="n"/>
      <c r="G15" s="21" t="n"/>
      <c r="H15" s="22" t="n"/>
      <c r="I15" s="23" t="n"/>
      <c r="J15" s="22" t="n"/>
      <c r="K15" s="24" t="n"/>
      <c r="L15" s="24" t="n"/>
      <c r="M15" s="24" t="n"/>
      <c r="N15" s="21" t="n"/>
      <c r="O15" s="24" t="n"/>
      <c r="P15" s="19" t="n"/>
      <c r="Q15" s="20" t="n"/>
      <c r="R15" s="23" t="n"/>
      <c r="S15" s="23" t="n"/>
      <c r="T15" s="21" t="n"/>
      <c r="U15" s="21" t="n"/>
      <c r="V15" s="21" t="n"/>
      <c r="W15" s="21" t="n"/>
      <c r="X15" s="21" t="n"/>
      <c r="Y15" s="25">
        <f>IF($C15="","",IF(E15="XAUUSD",0.1,IF(ISNUMBER(SEARCH("JPY",E15)),0.01,0.0001)))</f>
        <v/>
      </c>
      <c r="Z15" s="18">
        <f>IF($C15="","",IF(F15="Sell",-1,1))</f>
        <v/>
      </c>
      <c r="AA15" s="18">
        <f>IF($C15="","",IF(E15="XAUUSD",100,100000))</f>
        <v/>
      </c>
      <c r="AB15" s="26">
        <f>IF(OR(K15="",L15=""),"",ABS(K15-L15)/Y15)</f>
        <v/>
      </c>
      <c r="AC15" s="26">
        <f>IF(OR(K15="",M15=""),"",ABS(M15-K15)/Y15)</f>
        <v/>
      </c>
      <c r="AD15" s="26">
        <f>IF(OR(K15="",O15=""),"",(O15-K15)*Z15/Y15)</f>
        <v/>
      </c>
      <c r="AE15" s="27">
        <f>IF(OR(AB15="",AB15=0,AC15=""),"",AC15/AB15)</f>
        <v/>
      </c>
      <c r="AF15" s="27">
        <f>IF(OR(AB15="",AB15=0,AD15=""),"",AD15/AB15)</f>
        <v/>
      </c>
      <c r="AG15" s="27">
        <f>IF(OR(C15="",P15=""),"",((P15+IF(Q15="",0,Q15))-(C15+IF(D15="",0,D15)))*24)</f>
        <v/>
      </c>
      <c r="AH15" s="18">
        <f>IF(AG15="","",INT(AG15/24)&amp;"d "&amp;INT(MOD(AG15,24))&amp;"h "&amp;INT(MOD(AG15*60,60))&amp;"m")</f>
        <v/>
      </c>
      <c r="AI15" s="28">
        <f>IF(OR(O15="",K15="",H15=""),"",IF(OR(E15="XAUUSD",RIGHT(E15,3)="USD"),(O15-K15)*Z15*AA15*H15,IF(LEFT(E15,3)="USD",IF(O15=0,"",(O15-K15)*Z15*AA15*H15/O15),AD15*10*H15)))</f>
        <v/>
      </c>
      <c r="AJ15" s="28">
        <f>IF(O15="","",IF(S15="",IF(AI15="",0,AI15),S15)-IF(R15="",0,R15))</f>
        <v/>
      </c>
      <c r="AK15" s="18">
        <f>IF(C15="","",IF(OR(O15="",P15=""),"Open",IF(ABS(AJ15)&lt;=BEThreshold,"BE",IF(AJ15&gt;0,"Win","Loss"))))</f>
        <v/>
      </c>
      <c r="AL15" s="28">
        <f>IF(OR(C15="",AK15="Open"),"",InitialCapital+SUMIFS($AJ$2:AJ15,$AK$2:AK15,"&lt;&gt;Open"))</f>
        <v/>
      </c>
      <c r="AM15" s="18">
        <f>IF(OR(C15="",AK15=""),"",IF(AK15="Open","No","Yes"))</f>
        <v/>
      </c>
    </row>
    <row r="16" ht="18" customHeight="1">
      <c r="A16" s="18">
        <f>IF(C16="","",COUNTA($C$2:C16))</f>
        <v/>
      </c>
      <c r="B16" s="18">
        <f>IF(C16="","",TEXT(C16,"dddd"))</f>
        <v/>
      </c>
      <c r="C16" s="19" t="n"/>
      <c r="D16" s="20" t="n"/>
      <c r="E16" s="21" t="n"/>
      <c r="F16" s="21" t="n"/>
      <c r="G16" s="21" t="n"/>
      <c r="H16" s="22" t="n"/>
      <c r="I16" s="23" t="n"/>
      <c r="J16" s="22" t="n"/>
      <c r="K16" s="24" t="n"/>
      <c r="L16" s="24" t="n"/>
      <c r="M16" s="24" t="n"/>
      <c r="N16" s="21" t="n"/>
      <c r="O16" s="24" t="n"/>
      <c r="P16" s="19" t="n"/>
      <c r="Q16" s="20" t="n"/>
      <c r="R16" s="23" t="n"/>
      <c r="S16" s="23" t="n"/>
      <c r="T16" s="21" t="n"/>
      <c r="U16" s="21" t="n"/>
      <c r="V16" s="21" t="n"/>
      <c r="W16" s="21" t="n"/>
      <c r="X16" s="21" t="n"/>
      <c r="Y16" s="25">
        <f>IF($C16="","",IF(E16="XAUUSD",0.1,IF(ISNUMBER(SEARCH("JPY",E16)),0.01,0.0001)))</f>
        <v/>
      </c>
      <c r="Z16" s="18">
        <f>IF($C16="","",IF(F16="Sell",-1,1))</f>
        <v/>
      </c>
      <c r="AA16" s="18">
        <f>IF($C16="","",IF(E16="XAUUSD",100,100000))</f>
        <v/>
      </c>
      <c r="AB16" s="26">
        <f>IF(OR(K16="",L16=""),"",ABS(K16-L16)/Y16)</f>
        <v/>
      </c>
      <c r="AC16" s="26">
        <f>IF(OR(K16="",M16=""),"",ABS(M16-K16)/Y16)</f>
        <v/>
      </c>
      <c r="AD16" s="26">
        <f>IF(OR(K16="",O16=""),"",(O16-K16)*Z16/Y16)</f>
        <v/>
      </c>
      <c r="AE16" s="27">
        <f>IF(OR(AB16="",AB16=0,AC16=""),"",AC16/AB16)</f>
        <v/>
      </c>
      <c r="AF16" s="27">
        <f>IF(OR(AB16="",AB16=0,AD16=""),"",AD16/AB16)</f>
        <v/>
      </c>
      <c r="AG16" s="27">
        <f>IF(OR(C16="",P16=""),"",((P16+IF(Q16="",0,Q16))-(C16+IF(D16="",0,D16)))*24)</f>
        <v/>
      </c>
      <c r="AH16" s="18">
        <f>IF(AG16="","",INT(AG16/24)&amp;"d "&amp;INT(MOD(AG16,24))&amp;"h "&amp;INT(MOD(AG16*60,60))&amp;"m")</f>
        <v/>
      </c>
      <c r="AI16" s="28">
        <f>IF(OR(O16="",K16="",H16=""),"",IF(OR(E16="XAUUSD",RIGHT(E16,3)="USD"),(O16-K16)*Z16*AA16*H16,IF(LEFT(E16,3)="USD",IF(O16=0,"",(O16-K16)*Z16*AA16*H16/O16),AD16*10*H16)))</f>
        <v/>
      </c>
      <c r="AJ16" s="28">
        <f>IF(O16="","",IF(S16="",IF(AI16="",0,AI16),S16)-IF(R16="",0,R16))</f>
        <v/>
      </c>
      <c r="AK16" s="18">
        <f>IF(C16="","",IF(OR(O16="",P16=""),"Open",IF(ABS(AJ16)&lt;=BEThreshold,"BE",IF(AJ16&gt;0,"Win","Loss"))))</f>
        <v/>
      </c>
      <c r="AL16" s="28">
        <f>IF(OR(C16="",AK16="Open"),"",InitialCapital+SUMIFS($AJ$2:AJ16,$AK$2:AK16,"&lt;&gt;Open"))</f>
        <v/>
      </c>
      <c r="AM16" s="18">
        <f>IF(OR(C16="",AK16=""),"",IF(AK16="Open","No","Yes"))</f>
        <v/>
      </c>
    </row>
    <row r="17" ht="18" customHeight="1">
      <c r="A17" s="18">
        <f>IF(C17="","",COUNTA($C$2:C17))</f>
        <v/>
      </c>
      <c r="B17" s="18">
        <f>IF(C17="","",TEXT(C17,"dddd"))</f>
        <v/>
      </c>
      <c r="C17" s="19" t="n"/>
      <c r="D17" s="20" t="n"/>
      <c r="E17" s="21" t="n"/>
      <c r="F17" s="21" t="n"/>
      <c r="G17" s="21" t="n"/>
      <c r="H17" s="22" t="n"/>
      <c r="I17" s="23" t="n"/>
      <c r="J17" s="22" t="n"/>
      <c r="K17" s="24" t="n"/>
      <c r="L17" s="24" t="n"/>
      <c r="M17" s="24" t="n"/>
      <c r="N17" s="21" t="n"/>
      <c r="O17" s="24" t="n"/>
      <c r="P17" s="19" t="n"/>
      <c r="Q17" s="20" t="n"/>
      <c r="R17" s="23" t="n"/>
      <c r="S17" s="23" t="n"/>
      <c r="T17" s="21" t="n"/>
      <c r="U17" s="21" t="n"/>
      <c r="V17" s="21" t="n"/>
      <c r="W17" s="21" t="n"/>
      <c r="X17" s="21" t="n"/>
      <c r="Y17" s="25">
        <f>IF($C17="","",IF(E17="XAUUSD",0.1,IF(ISNUMBER(SEARCH("JPY",E17)),0.01,0.0001)))</f>
        <v/>
      </c>
      <c r="Z17" s="18">
        <f>IF($C17="","",IF(F17="Sell",-1,1))</f>
        <v/>
      </c>
      <c r="AA17" s="18">
        <f>IF($C17="","",IF(E17="XAUUSD",100,100000))</f>
        <v/>
      </c>
      <c r="AB17" s="26">
        <f>IF(OR(K17="",L17=""),"",ABS(K17-L17)/Y17)</f>
        <v/>
      </c>
      <c r="AC17" s="26">
        <f>IF(OR(K17="",M17=""),"",ABS(M17-K17)/Y17)</f>
        <v/>
      </c>
      <c r="AD17" s="26">
        <f>IF(OR(K17="",O17=""),"",(O17-K17)*Z17/Y17)</f>
        <v/>
      </c>
      <c r="AE17" s="27">
        <f>IF(OR(AB17="",AB17=0,AC17=""),"",AC17/AB17)</f>
        <v/>
      </c>
      <c r="AF17" s="27">
        <f>IF(OR(AB17="",AB17=0,AD17=""),"",AD17/AB17)</f>
        <v/>
      </c>
      <c r="AG17" s="27">
        <f>IF(OR(C17="",P17=""),"",((P17+IF(Q17="",0,Q17))-(C17+IF(D17="",0,D17)))*24)</f>
        <v/>
      </c>
      <c r="AH17" s="18">
        <f>IF(AG17="","",INT(AG17/24)&amp;"d "&amp;INT(MOD(AG17,24))&amp;"h "&amp;INT(MOD(AG17*60,60))&amp;"m")</f>
        <v/>
      </c>
      <c r="AI17" s="28">
        <f>IF(OR(O17="",K17="",H17=""),"",IF(OR(E17="XAUUSD",RIGHT(E17,3)="USD"),(O17-K17)*Z17*AA17*H17,IF(LEFT(E17,3)="USD",IF(O17=0,"",(O17-K17)*Z17*AA17*H17/O17),AD17*10*H17)))</f>
        <v/>
      </c>
      <c r="AJ17" s="28">
        <f>IF(O17="","",IF(S17="",IF(AI17="",0,AI17),S17)-IF(R17="",0,R17))</f>
        <v/>
      </c>
      <c r="AK17" s="18">
        <f>IF(C17="","",IF(OR(O17="",P17=""),"Open",IF(ABS(AJ17)&lt;=BEThreshold,"BE",IF(AJ17&gt;0,"Win","Loss"))))</f>
        <v/>
      </c>
      <c r="AL17" s="28">
        <f>IF(OR(C17="",AK17="Open"),"",InitialCapital+SUMIFS($AJ$2:AJ17,$AK$2:AK17,"&lt;&gt;Open"))</f>
        <v/>
      </c>
      <c r="AM17" s="18">
        <f>IF(OR(C17="",AK17=""),"",IF(AK17="Open","No","Yes"))</f>
        <v/>
      </c>
    </row>
    <row r="18" ht="18" customHeight="1">
      <c r="A18" s="18">
        <f>IF(C18="","",COUNTA($C$2:C18))</f>
        <v/>
      </c>
      <c r="B18" s="18">
        <f>IF(C18="","",TEXT(C18,"dddd"))</f>
        <v/>
      </c>
      <c r="C18" s="19" t="n"/>
      <c r="D18" s="20" t="n"/>
      <c r="E18" s="21" t="n"/>
      <c r="F18" s="21" t="n"/>
      <c r="G18" s="21" t="n"/>
      <c r="H18" s="22" t="n"/>
      <c r="I18" s="23" t="n"/>
      <c r="J18" s="22" t="n"/>
      <c r="K18" s="24" t="n"/>
      <c r="L18" s="24" t="n"/>
      <c r="M18" s="24" t="n"/>
      <c r="N18" s="21" t="n"/>
      <c r="O18" s="24" t="n"/>
      <c r="P18" s="19" t="n"/>
      <c r="Q18" s="20" t="n"/>
      <c r="R18" s="23" t="n"/>
      <c r="S18" s="23" t="n"/>
      <c r="T18" s="21" t="n"/>
      <c r="U18" s="21" t="n"/>
      <c r="V18" s="21" t="n"/>
      <c r="W18" s="21" t="n"/>
      <c r="X18" s="21" t="n"/>
      <c r="Y18" s="25">
        <f>IF($C18="","",IF(E18="XAUUSD",0.1,IF(ISNUMBER(SEARCH("JPY",E18)),0.01,0.0001)))</f>
        <v/>
      </c>
      <c r="Z18" s="18">
        <f>IF($C18="","",IF(F18="Sell",-1,1))</f>
        <v/>
      </c>
      <c r="AA18" s="18">
        <f>IF($C18="","",IF(E18="XAUUSD",100,100000))</f>
        <v/>
      </c>
      <c r="AB18" s="26">
        <f>IF(OR(K18="",L18=""),"",ABS(K18-L18)/Y18)</f>
        <v/>
      </c>
      <c r="AC18" s="26">
        <f>IF(OR(K18="",M18=""),"",ABS(M18-K18)/Y18)</f>
        <v/>
      </c>
      <c r="AD18" s="26">
        <f>IF(OR(K18="",O18=""),"",(O18-K18)*Z18/Y18)</f>
        <v/>
      </c>
      <c r="AE18" s="27">
        <f>IF(OR(AB18="",AB18=0,AC18=""),"",AC18/AB18)</f>
        <v/>
      </c>
      <c r="AF18" s="27">
        <f>IF(OR(AB18="",AB18=0,AD18=""),"",AD18/AB18)</f>
        <v/>
      </c>
      <c r="AG18" s="27">
        <f>IF(OR(C18="",P18=""),"",((P18+IF(Q18="",0,Q18))-(C18+IF(D18="",0,D18)))*24)</f>
        <v/>
      </c>
      <c r="AH18" s="18">
        <f>IF(AG18="","",INT(AG18/24)&amp;"d "&amp;INT(MOD(AG18,24))&amp;"h "&amp;INT(MOD(AG18*60,60))&amp;"m")</f>
        <v/>
      </c>
      <c r="AI18" s="28">
        <f>IF(OR(O18="",K18="",H18=""),"",IF(OR(E18="XAUUSD",RIGHT(E18,3)="USD"),(O18-K18)*Z18*AA18*H18,IF(LEFT(E18,3)="USD",IF(O18=0,"",(O18-K18)*Z18*AA18*H18/O18),AD18*10*H18)))</f>
        <v/>
      </c>
      <c r="AJ18" s="28">
        <f>IF(O18="","",IF(S18="",IF(AI18="",0,AI18),S18)-IF(R18="",0,R18))</f>
        <v/>
      </c>
      <c r="AK18" s="18">
        <f>IF(C18="","",IF(OR(O18="",P18=""),"Open",IF(ABS(AJ18)&lt;=BEThreshold,"BE",IF(AJ18&gt;0,"Win","Loss"))))</f>
        <v/>
      </c>
      <c r="AL18" s="28">
        <f>IF(OR(C18="",AK18="Open"),"",InitialCapital+SUMIFS($AJ$2:AJ18,$AK$2:AK18,"&lt;&gt;Open"))</f>
        <v/>
      </c>
      <c r="AM18" s="18">
        <f>IF(OR(C18="",AK18=""),"",IF(AK18="Open","No","Yes"))</f>
        <v/>
      </c>
    </row>
    <row r="19" ht="18" customHeight="1">
      <c r="A19" s="18">
        <f>IF(C19="","",COUNTA($C$2:C19))</f>
        <v/>
      </c>
      <c r="B19" s="18">
        <f>IF(C19="","",TEXT(C19,"dddd"))</f>
        <v/>
      </c>
      <c r="C19" s="19" t="n"/>
      <c r="D19" s="20" t="n"/>
      <c r="E19" s="21" t="n"/>
      <c r="F19" s="21" t="n"/>
      <c r="G19" s="21" t="n"/>
      <c r="H19" s="22" t="n"/>
      <c r="I19" s="23" t="n"/>
      <c r="J19" s="22" t="n"/>
      <c r="K19" s="24" t="n"/>
      <c r="L19" s="24" t="n"/>
      <c r="M19" s="24" t="n"/>
      <c r="N19" s="21" t="n"/>
      <c r="O19" s="24" t="n"/>
      <c r="P19" s="19" t="n"/>
      <c r="Q19" s="20" t="n"/>
      <c r="R19" s="23" t="n"/>
      <c r="S19" s="23" t="n"/>
      <c r="T19" s="21" t="n"/>
      <c r="U19" s="21" t="n"/>
      <c r="V19" s="21" t="n"/>
      <c r="W19" s="21" t="n"/>
      <c r="X19" s="21" t="n"/>
      <c r="Y19" s="25">
        <f>IF($C19="","",IF(E19="XAUUSD",0.1,IF(ISNUMBER(SEARCH("JPY",E19)),0.01,0.0001)))</f>
        <v/>
      </c>
      <c r="Z19" s="18">
        <f>IF($C19="","",IF(F19="Sell",-1,1))</f>
        <v/>
      </c>
      <c r="AA19" s="18">
        <f>IF($C19="","",IF(E19="XAUUSD",100,100000))</f>
        <v/>
      </c>
      <c r="AB19" s="26">
        <f>IF(OR(K19="",L19=""),"",ABS(K19-L19)/Y19)</f>
        <v/>
      </c>
      <c r="AC19" s="26">
        <f>IF(OR(K19="",M19=""),"",ABS(M19-K19)/Y19)</f>
        <v/>
      </c>
      <c r="AD19" s="26">
        <f>IF(OR(K19="",O19=""),"",(O19-K19)*Z19/Y19)</f>
        <v/>
      </c>
      <c r="AE19" s="27">
        <f>IF(OR(AB19="",AB19=0,AC19=""),"",AC19/AB19)</f>
        <v/>
      </c>
      <c r="AF19" s="27">
        <f>IF(OR(AB19="",AB19=0,AD19=""),"",AD19/AB19)</f>
        <v/>
      </c>
      <c r="AG19" s="27">
        <f>IF(OR(C19="",P19=""),"",((P19+IF(Q19="",0,Q19))-(C19+IF(D19="",0,D19)))*24)</f>
        <v/>
      </c>
      <c r="AH19" s="18">
        <f>IF(AG19="","",INT(AG19/24)&amp;"d "&amp;INT(MOD(AG19,24))&amp;"h "&amp;INT(MOD(AG19*60,60))&amp;"m")</f>
        <v/>
      </c>
      <c r="AI19" s="28">
        <f>IF(OR(O19="",K19="",H19=""),"",IF(OR(E19="XAUUSD",RIGHT(E19,3)="USD"),(O19-K19)*Z19*AA19*H19,IF(LEFT(E19,3)="USD",IF(O19=0,"",(O19-K19)*Z19*AA19*H19/O19),AD19*10*H19)))</f>
        <v/>
      </c>
      <c r="AJ19" s="28">
        <f>IF(O19="","",IF(S19="",IF(AI19="",0,AI19),S19)-IF(R19="",0,R19))</f>
        <v/>
      </c>
      <c r="AK19" s="18">
        <f>IF(C19="","",IF(OR(O19="",P19=""),"Open",IF(ABS(AJ19)&lt;=BEThreshold,"BE",IF(AJ19&gt;0,"Win","Loss"))))</f>
        <v/>
      </c>
      <c r="AL19" s="28">
        <f>IF(OR(C19="",AK19="Open"),"",InitialCapital+SUMIFS($AJ$2:AJ19,$AK$2:AK19,"&lt;&gt;Open"))</f>
        <v/>
      </c>
      <c r="AM19" s="18">
        <f>IF(OR(C19="",AK19=""),"",IF(AK19="Open","No","Yes"))</f>
        <v/>
      </c>
    </row>
    <row r="20" ht="18" customHeight="1">
      <c r="A20" s="18">
        <f>IF(C20="","",COUNTA($C$2:C20))</f>
        <v/>
      </c>
      <c r="B20" s="18">
        <f>IF(C20="","",TEXT(C20,"dddd"))</f>
        <v/>
      </c>
      <c r="C20" s="19" t="n"/>
      <c r="D20" s="20" t="n"/>
      <c r="E20" s="21" t="n"/>
      <c r="F20" s="21" t="n"/>
      <c r="G20" s="21" t="n"/>
      <c r="H20" s="22" t="n"/>
      <c r="I20" s="23" t="n"/>
      <c r="J20" s="22" t="n"/>
      <c r="K20" s="24" t="n"/>
      <c r="L20" s="24" t="n"/>
      <c r="M20" s="24" t="n"/>
      <c r="N20" s="21" t="n"/>
      <c r="O20" s="24" t="n"/>
      <c r="P20" s="19" t="n"/>
      <c r="Q20" s="20" t="n"/>
      <c r="R20" s="23" t="n"/>
      <c r="S20" s="23" t="n"/>
      <c r="T20" s="21" t="n"/>
      <c r="U20" s="21" t="n"/>
      <c r="V20" s="21" t="n"/>
      <c r="W20" s="21" t="n"/>
      <c r="X20" s="21" t="n"/>
      <c r="Y20" s="25">
        <f>IF($C20="","",IF(E20="XAUUSD",0.1,IF(ISNUMBER(SEARCH("JPY",E20)),0.01,0.0001)))</f>
        <v/>
      </c>
      <c r="Z20" s="18">
        <f>IF($C20="","",IF(F20="Sell",-1,1))</f>
        <v/>
      </c>
      <c r="AA20" s="18">
        <f>IF($C20="","",IF(E20="XAUUSD",100,100000))</f>
        <v/>
      </c>
      <c r="AB20" s="26">
        <f>IF(OR(K20="",L20=""),"",ABS(K20-L20)/Y20)</f>
        <v/>
      </c>
      <c r="AC20" s="26">
        <f>IF(OR(K20="",M20=""),"",ABS(M20-K20)/Y20)</f>
        <v/>
      </c>
      <c r="AD20" s="26">
        <f>IF(OR(K20="",O20=""),"",(O20-K20)*Z20/Y20)</f>
        <v/>
      </c>
      <c r="AE20" s="27">
        <f>IF(OR(AB20="",AB20=0,AC20=""),"",AC20/AB20)</f>
        <v/>
      </c>
      <c r="AF20" s="27">
        <f>IF(OR(AB20="",AB20=0,AD20=""),"",AD20/AB20)</f>
        <v/>
      </c>
      <c r="AG20" s="27">
        <f>IF(OR(C20="",P20=""),"",((P20+IF(Q20="",0,Q20))-(C20+IF(D20="",0,D20)))*24)</f>
        <v/>
      </c>
      <c r="AH20" s="18">
        <f>IF(AG20="","",INT(AG20/24)&amp;"d "&amp;INT(MOD(AG20,24))&amp;"h "&amp;INT(MOD(AG20*60,60))&amp;"m")</f>
        <v/>
      </c>
      <c r="AI20" s="28">
        <f>IF(OR(O20="",K20="",H20=""),"",IF(OR(E20="XAUUSD",RIGHT(E20,3)="USD"),(O20-K20)*Z20*AA20*H20,IF(LEFT(E20,3)="USD",IF(O20=0,"",(O20-K20)*Z20*AA20*H20/O20),AD20*10*H20)))</f>
        <v/>
      </c>
      <c r="AJ20" s="28">
        <f>IF(O20="","",IF(S20="",IF(AI20="",0,AI20),S20)-IF(R20="",0,R20))</f>
        <v/>
      </c>
      <c r="AK20" s="18">
        <f>IF(C20="","",IF(OR(O20="",P20=""),"Open",IF(ABS(AJ20)&lt;=BEThreshold,"BE",IF(AJ20&gt;0,"Win","Loss"))))</f>
        <v/>
      </c>
      <c r="AL20" s="28">
        <f>IF(OR(C20="",AK20="Open"),"",InitialCapital+SUMIFS($AJ$2:AJ20,$AK$2:AK20,"&lt;&gt;Open"))</f>
        <v/>
      </c>
      <c r="AM20" s="18">
        <f>IF(OR(C20="",AK20=""),"",IF(AK20="Open","No","Yes"))</f>
        <v/>
      </c>
    </row>
    <row r="21" ht="18" customHeight="1">
      <c r="A21" s="18">
        <f>IF(C21="","",COUNTA($C$2:C21))</f>
        <v/>
      </c>
      <c r="B21" s="18">
        <f>IF(C21="","",TEXT(C21,"dddd"))</f>
        <v/>
      </c>
      <c r="C21" s="19" t="n"/>
      <c r="D21" s="20" t="n"/>
      <c r="E21" s="21" t="n"/>
      <c r="F21" s="21" t="n"/>
      <c r="G21" s="21" t="n"/>
      <c r="H21" s="22" t="n"/>
      <c r="I21" s="23" t="n"/>
      <c r="J21" s="22" t="n"/>
      <c r="K21" s="24" t="n"/>
      <c r="L21" s="24" t="n"/>
      <c r="M21" s="24" t="n"/>
      <c r="N21" s="21" t="n"/>
      <c r="O21" s="24" t="n"/>
      <c r="P21" s="19" t="n"/>
      <c r="Q21" s="20" t="n"/>
      <c r="R21" s="23" t="n"/>
      <c r="S21" s="23" t="n"/>
      <c r="T21" s="21" t="n"/>
      <c r="U21" s="21" t="n"/>
      <c r="V21" s="21" t="n"/>
      <c r="W21" s="21" t="n"/>
      <c r="X21" s="21" t="n"/>
      <c r="Y21" s="25">
        <f>IF($C21="","",IF(E21="XAUUSD",0.1,IF(ISNUMBER(SEARCH("JPY",E21)),0.01,0.0001)))</f>
        <v/>
      </c>
      <c r="Z21" s="18">
        <f>IF($C21="","",IF(F21="Sell",-1,1))</f>
        <v/>
      </c>
      <c r="AA21" s="18">
        <f>IF($C21="","",IF(E21="XAUUSD",100,100000))</f>
        <v/>
      </c>
      <c r="AB21" s="26">
        <f>IF(OR(K21="",L21=""),"",ABS(K21-L21)/Y21)</f>
        <v/>
      </c>
      <c r="AC21" s="26">
        <f>IF(OR(K21="",M21=""),"",ABS(M21-K21)/Y21)</f>
        <v/>
      </c>
      <c r="AD21" s="26">
        <f>IF(OR(K21="",O21=""),"",(O21-K21)*Z21/Y21)</f>
        <v/>
      </c>
      <c r="AE21" s="27">
        <f>IF(OR(AB21="",AB21=0,AC21=""),"",AC21/AB21)</f>
        <v/>
      </c>
      <c r="AF21" s="27">
        <f>IF(OR(AB21="",AB21=0,AD21=""),"",AD21/AB21)</f>
        <v/>
      </c>
      <c r="AG21" s="27">
        <f>IF(OR(C21="",P21=""),"",((P21+IF(Q21="",0,Q21))-(C21+IF(D21="",0,D21)))*24)</f>
        <v/>
      </c>
      <c r="AH21" s="18">
        <f>IF(AG21="","",INT(AG21/24)&amp;"d "&amp;INT(MOD(AG21,24))&amp;"h "&amp;INT(MOD(AG21*60,60))&amp;"m")</f>
        <v/>
      </c>
      <c r="AI21" s="28">
        <f>IF(OR(O21="",K21="",H21=""),"",IF(OR(E21="XAUUSD",RIGHT(E21,3)="USD"),(O21-K21)*Z21*AA21*H21,IF(LEFT(E21,3)="USD",IF(O21=0,"",(O21-K21)*Z21*AA21*H21/O21),AD21*10*H21)))</f>
        <v/>
      </c>
      <c r="AJ21" s="28">
        <f>IF(O21="","",IF(S21="",IF(AI21="",0,AI21),S21)-IF(R21="",0,R21))</f>
        <v/>
      </c>
      <c r="AK21" s="18">
        <f>IF(C21="","",IF(OR(O21="",P21=""),"Open",IF(ABS(AJ21)&lt;=BEThreshold,"BE",IF(AJ21&gt;0,"Win","Loss"))))</f>
        <v/>
      </c>
      <c r="AL21" s="28">
        <f>IF(OR(C21="",AK21="Open"),"",InitialCapital+SUMIFS($AJ$2:AJ21,$AK$2:AK21,"&lt;&gt;Open"))</f>
        <v/>
      </c>
      <c r="AM21" s="18">
        <f>IF(OR(C21="",AK21=""),"",IF(AK21="Open","No","Yes"))</f>
        <v/>
      </c>
    </row>
    <row r="22" ht="18" customHeight="1">
      <c r="A22" s="18">
        <f>IF(C22="","",COUNTA($C$2:C22))</f>
        <v/>
      </c>
      <c r="B22" s="18">
        <f>IF(C22="","",TEXT(C22,"dddd"))</f>
        <v/>
      </c>
      <c r="C22" s="19" t="n"/>
      <c r="D22" s="20" t="n"/>
      <c r="E22" s="21" t="n"/>
      <c r="F22" s="21" t="n"/>
      <c r="G22" s="21" t="n"/>
      <c r="H22" s="22" t="n"/>
      <c r="I22" s="23" t="n"/>
      <c r="J22" s="22" t="n"/>
      <c r="K22" s="24" t="n"/>
      <c r="L22" s="24" t="n"/>
      <c r="M22" s="24" t="n"/>
      <c r="N22" s="21" t="n"/>
      <c r="O22" s="24" t="n"/>
      <c r="P22" s="19" t="n"/>
      <c r="Q22" s="20" t="n"/>
      <c r="R22" s="23" t="n"/>
      <c r="S22" s="23" t="n"/>
      <c r="T22" s="21" t="n"/>
      <c r="U22" s="21" t="n"/>
      <c r="V22" s="21" t="n"/>
      <c r="W22" s="21" t="n"/>
      <c r="X22" s="21" t="n"/>
      <c r="Y22" s="25">
        <f>IF($C22="","",IF(E22="XAUUSD",0.1,IF(ISNUMBER(SEARCH("JPY",E22)),0.01,0.0001)))</f>
        <v/>
      </c>
      <c r="Z22" s="18">
        <f>IF($C22="","",IF(F22="Sell",-1,1))</f>
        <v/>
      </c>
      <c r="AA22" s="18">
        <f>IF($C22="","",IF(E22="XAUUSD",100,100000))</f>
        <v/>
      </c>
      <c r="AB22" s="26">
        <f>IF(OR(K22="",L22=""),"",ABS(K22-L22)/Y22)</f>
        <v/>
      </c>
      <c r="AC22" s="26">
        <f>IF(OR(K22="",M22=""),"",ABS(M22-K22)/Y22)</f>
        <v/>
      </c>
      <c r="AD22" s="26">
        <f>IF(OR(K22="",O22=""),"",(O22-K22)*Z22/Y22)</f>
        <v/>
      </c>
      <c r="AE22" s="27">
        <f>IF(OR(AB22="",AB22=0,AC22=""),"",AC22/AB22)</f>
        <v/>
      </c>
      <c r="AF22" s="27">
        <f>IF(OR(AB22="",AB22=0,AD22=""),"",AD22/AB22)</f>
        <v/>
      </c>
      <c r="AG22" s="27">
        <f>IF(OR(C22="",P22=""),"",((P22+IF(Q22="",0,Q22))-(C22+IF(D22="",0,D22)))*24)</f>
        <v/>
      </c>
      <c r="AH22" s="18">
        <f>IF(AG22="","",INT(AG22/24)&amp;"d "&amp;INT(MOD(AG22,24))&amp;"h "&amp;INT(MOD(AG22*60,60))&amp;"m")</f>
        <v/>
      </c>
      <c r="AI22" s="28">
        <f>IF(OR(O22="",K22="",H22=""),"",IF(OR(E22="XAUUSD",RIGHT(E22,3)="USD"),(O22-K22)*Z22*AA22*H22,IF(LEFT(E22,3)="USD",IF(O22=0,"",(O22-K22)*Z22*AA22*H22/O22),AD22*10*H22)))</f>
        <v/>
      </c>
      <c r="AJ22" s="28">
        <f>IF(O22="","",IF(S22="",IF(AI22="",0,AI22),S22)-IF(R22="",0,R22))</f>
        <v/>
      </c>
      <c r="AK22" s="18">
        <f>IF(C22="","",IF(OR(O22="",P22=""),"Open",IF(ABS(AJ22)&lt;=BEThreshold,"BE",IF(AJ22&gt;0,"Win","Loss"))))</f>
        <v/>
      </c>
      <c r="AL22" s="28">
        <f>IF(OR(C22="",AK22="Open"),"",InitialCapital+SUMIFS($AJ$2:AJ22,$AK$2:AK22,"&lt;&gt;Open"))</f>
        <v/>
      </c>
      <c r="AM22" s="18">
        <f>IF(OR(C22="",AK22=""),"",IF(AK22="Open","No","Yes"))</f>
        <v/>
      </c>
    </row>
    <row r="23" ht="18" customHeight="1">
      <c r="A23" s="18">
        <f>IF(C23="","",COUNTA($C$2:C23))</f>
        <v/>
      </c>
      <c r="B23" s="18">
        <f>IF(C23="","",TEXT(C23,"dddd"))</f>
        <v/>
      </c>
      <c r="C23" s="19" t="n"/>
      <c r="D23" s="20" t="n"/>
      <c r="E23" s="21" t="n"/>
      <c r="F23" s="21" t="n"/>
      <c r="G23" s="21" t="n"/>
      <c r="H23" s="22" t="n"/>
      <c r="I23" s="23" t="n"/>
      <c r="J23" s="22" t="n"/>
      <c r="K23" s="24" t="n"/>
      <c r="L23" s="24" t="n"/>
      <c r="M23" s="24" t="n"/>
      <c r="N23" s="21" t="n"/>
      <c r="O23" s="24" t="n"/>
      <c r="P23" s="19" t="n"/>
      <c r="Q23" s="20" t="n"/>
      <c r="R23" s="23" t="n"/>
      <c r="S23" s="23" t="n"/>
      <c r="T23" s="21" t="n"/>
      <c r="U23" s="21" t="n"/>
      <c r="V23" s="21" t="n"/>
      <c r="W23" s="21" t="n"/>
      <c r="X23" s="21" t="n"/>
      <c r="Y23" s="25">
        <f>IF($C23="","",IF(E23="XAUUSD",0.1,IF(ISNUMBER(SEARCH("JPY",E23)),0.01,0.0001)))</f>
        <v/>
      </c>
      <c r="Z23" s="18">
        <f>IF($C23="","",IF(F23="Sell",-1,1))</f>
        <v/>
      </c>
      <c r="AA23" s="18">
        <f>IF($C23="","",IF(E23="XAUUSD",100,100000))</f>
        <v/>
      </c>
      <c r="AB23" s="26">
        <f>IF(OR(K23="",L23=""),"",ABS(K23-L23)/Y23)</f>
        <v/>
      </c>
      <c r="AC23" s="26">
        <f>IF(OR(K23="",M23=""),"",ABS(M23-K23)/Y23)</f>
        <v/>
      </c>
      <c r="AD23" s="26">
        <f>IF(OR(K23="",O23=""),"",(O23-K23)*Z23/Y23)</f>
        <v/>
      </c>
      <c r="AE23" s="27">
        <f>IF(OR(AB23="",AB23=0,AC23=""),"",AC23/AB23)</f>
        <v/>
      </c>
      <c r="AF23" s="27">
        <f>IF(OR(AB23="",AB23=0,AD23=""),"",AD23/AB23)</f>
        <v/>
      </c>
      <c r="AG23" s="27">
        <f>IF(OR(C23="",P23=""),"",((P23+IF(Q23="",0,Q23))-(C23+IF(D23="",0,D23)))*24)</f>
        <v/>
      </c>
      <c r="AH23" s="18">
        <f>IF(AG23="","",INT(AG23/24)&amp;"d "&amp;INT(MOD(AG23,24))&amp;"h "&amp;INT(MOD(AG23*60,60))&amp;"m")</f>
        <v/>
      </c>
      <c r="AI23" s="28">
        <f>IF(OR(O23="",K23="",H23=""),"",IF(OR(E23="XAUUSD",RIGHT(E23,3)="USD"),(O23-K23)*Z23*AA23*H23,IF(LEFT(E23,3)="USD",IF(O23=0,"",(O23-K23)*Z23*AA23*H23/O23),AD23*10*H23)))</f>
        <v/>
      </c>
      <c r="AJ23" s="28">
        <f>IF(O23="","",IF(S23="",IF(AI23="",0,AI23),S23)-IF(R23="",0,R23))</f>
        <v/>
      </c>
      <c r="AK23" s="18">
        <f>IF(C23="","",IF(OR(O23="",P23=""),"Open",IF(ABS(AJ23)&lt;=BEThreshold,"BE",IF(AJ23&gt;0,"Win","Loss"))))</f>
        <v/>
      </c>
      <c r="AL23" s="28">
        <f>IF(OR(C23="",AK23="Open"),"",InitialCapital+SUMIFS($AJ$2:AJ23,$AK$2:AK23,"&lt;&gt;Open"))</f>
        <v/>
      </c>
      <c r="AM23" s="18">
        <f>IF(OR(C23="",AK23=""),"",IF(AK23="Open","No","Yes"))</f>
        <v/>
      </c>
    </row>
    <row r="24" ht="18" customHeight="1">
      <c r="A24" s="18">
        <f>IF(C24="","",COUNTA($C$2:C24))</f>
        <v/>
      </c>
      <c r="B24" s="18">
        <f>IF(C24="","",TEXT(C24,"dddd"))</f>
        <v/>
      </c>
      <c r="C24" s="19" t="n"/>
      <c r="D24" s="20" t="n"/>
      <c r="E24" s="21" t="n"/>
      <c r="F24" s="21" t="n"/>
      <c r="G24" s="21" t="n"/>
      <c r="H24" s="22" t="n"/>
      <c r="I24" s="23" t="n"/>
      <c r="J24" s="22" t="n"/>
      <c r="K24" s="24" t="n"/>
      <c r="L24" s="24" t="n"/>
      <c r="M24" s="24" t="n"/>
      <c r="N24" s="21" t="n"/>
      <c r="O24" s="24" t="n"/>
      <c r="P24" s="19" t="n"/>
      <c r="Q24" s="20" t="n"/>
      <c r="R24" s="23" t="n"/>
      <c r="S24" s="23" t="n"/>
      <c r="T24" s="21" t="n"/>
      <c r="U24" s="21" t="n"/>
      <c r="V24" s="21" t="n"/>
      <c r="W24" s="21" t="n"/>
      <c r="X24" s="21" t="n"/>
      <c r="Y24" s="25">
        <f>IF($C24="","",IF(E24="XAUUSD",0.1,IF(ISNUMBER(SEARCH("JPY",E24)),0.01,0.0001)))</f>
        <v/>
      </c>
      <c r="Z24" s="18">
        <f>IF($C24="","",IF(F24="Sell",-1,1))</f>
        <v/>
      </c>
      <c r="AA24" s="18">
        <f>IF($C24="","",IF(E24="XAUUSD",100,100000))</f>
        <v/>
      </c>
      <c r="AB24" s="26">
        <f>IF(OR(K24="",L24=""),"",ABS(K24-L24)/Y24)</f>
        <v/>
      </c>
      <c r="AC24" s="26">
        <f>IF(OR(K24="",M24=""),"",ABS(M24-K24)/Y24)</f>
        <v/>
      </c>
      <c r="AD24" s="26">
        <f>IF(OR(K24="",O24=""),"",(O24-K24)*Z24/Y24)</f>
        <v/>
      </c>
      <c r="AE24" s="27">
        <f>IF(OR(AB24="",AB24=0,AC24=""),"",AC24/AB24)</f>
        <v/>
      </c>
      <c r="AF24" s="27">
        <f>IF(OR(AB24="",AB24=0,AD24=""),"",AD24/AB24)</f>
        <v/>
      </c>
      <c r="AG24" s="27">
        <f>IF(OR(C24="",P24=""),"",((P24+IF(Q24="",0,Q24))-(C24+IF(D24="",0,D24)))*24)</f>
        <v/>
      </c>
      <c r="AH24" s="18">
        <f>IF(AG24="","",INT(AG24/24)&amp;"d "&amp;INT(MOD(AG24,24))&amp;"h "&amp;INT(MOD(AG24*60,60))&amp;"m")</f>
        <v/>
      </c>
      <c r="AI24" s="28">
        <f>IF(OR(O24="",K24="",H24=""),"",IF(OR(E24="XAUUSD",RIGHT(E24,3)="USD"),(O24-K24)*Z24*AA24*H24,IF(LEFT(E24,3)="USD",IF(O24=0,"",(O24-K24)*Z24*AA24*H24/O24),AD24*10*H24)))</f>
        <v/>
      </c>
      <c r="AJ24" s="28">
        <f>IF(O24="","",IF(S24="",IF(AI24="",0,AI24),S24)-IF(R24="",0,R24))</f>
        <v/>
      </c>
      <c r="AK24" s="18">
        <f>IF(C24="","",IF(OR(O24="",P24=""),"Open",IF(ABS(AJ24)&lt;=BEThreshold,"BE",IF(AJ24&gt;0,"Win","Loss"))))</f>
        <v/>
      </c>
      <c r="AL24" s="28">
        <f>IF(OR(C24="",AK24="Open"),"",InitialCapital+SUMIFS($AJ$2:AJ24,$AK$2:AK24,"&lt;&gt;Open"))</f>
        <v/>
      </c>
      <c r="AM24" s="18">
        <f>IF(OR(C24="",AK24=""),"",IF(AK24="Open","No","Yes"))</f>
        <v/>
      </c>
    </row>
    <row r="25" ht="18" customHeight="1">
      <c r="A25" s="18">
        <f>IF(C25="","",COUNTA($C$2:C25))</f>
        <v/>
      </c>
      <c r="B25" s="18">
        <f>IF(C25="","",TEXT(C25,"dddd"))</f>
        <v/>
      </c>
      <c r="C25" s="19" t="n"/>
      <c r="D25" s="20" t="n"/>
      <c r="E25" s="21" t="n"/>
      <c r="F25" s="21" t="n"/>
      <c r="G25" s="21" t="n"/>
      <c r="H25" s="22" t="n"/>
      <c r="I25" s="23" t="n"/>
      <c r="J25" s="22" t="n"/>
      <c r="K25" s="24" t="n"/>
      <c r="L25" s="24" t="n"/>
      <c r="M25" s="24" t="n"/>
      <c r="N25" s="21" t="n"/>
      <c r="O25" s="24" t="n"/>
      <c r="P25" s="19" t="n"/>
      <c r="Q25" s="20" t="n"/>
      <c r="R25" s="23" t="n"/>
      <c r="S25" s="23" t="n"/>
      <c r="T25" s="21" t="n"/>
      <c r="U25" s="21" t="n"/>
      <c r="V25" s="21" t="n"/>
      <c r="W25" s="21" t="n"/>
      <c r="X25" s="21" t="n"/>
      <c r="Y25" s="25">
        <f>IF($C25="","",IF(E25="XAUUSD",0.1,IF(ISNUMBER(SEARCH("JPY",E25)),0.01,0.0001)))</f>
        <v/>
      </c>
      <c r="Z25" s="18">
        <f>IF($C25="","",IF(F25="Sell",-1,1))</f>
        <v/>
      </c>
      <c r="AA25" s="18">
        <f>IF($C25="","",IF(E25="XAUUSD",100,100000))</f>
        <v/>
      </c>
      <c r="AB25" s="26">
        <f>IF(OR(K25="",L25=""),"",ABS(K25-L25)/Y25)</f>
        <v/>
      </c>
      <c r="AC25" s="26">
        <f>IF(OR(K25="",M25=""),"",ABS(M25-K25)/Y25)</f>
        <v/>
      </c>
      <c r="AD25" s="26">
        <f>IF(OR(K25="",O25=""),"",(O25-K25)*Z25/Y25)</f>
        <v/>
      </c>
      <c r="AE25" s="27">
        <f>IF(OR(AB25="",AB25=0,AC25=""),"",AC25/AB25)</f>
        <v/>
      </c>
      <c r="AF25" s="27">
        <f>IF(OR(AB25="",AB25=0,AD25=""),"",AD25/AB25)</f>
        <v/>
      </c>
      <c r="AG25" s="27">
        <f>IF(OR(C25="",P25=""),"",((P25+IF(Q25="",0,Q25))-(C25+IF(D25="",0,D25)))*24)</f>
        <v/>
      </c>
      <c r="AH25" s="18">
        <f>IF(AG25="","",INT(AG25/24)&amp;"d "&amp;INT(MOD(AG25,24))&amp;"h "&amp;INT(MOD(AG25*60,60))&amp;"m")</f>
        <v/>
      </c>
      <c r="AI25" s="28">
        <f>IF(OR(O25="",K25="",H25=""),"",IF(OR(E25="XAUUSD",RIGHT(E25,3)="USD"),(O25-K25)*Z25*AA25*H25,IF(LEFT(E25,3)="USD",IF(O25=0,"",(O25-K25)*Z25*AA25*H25/O25),AD25*10*H25)))</f>
        <v/>
      </c>
      <c r="AJ25" s="28">
        <f>IF(O25="","",IF(S25="",IF(AI25="",0,AI25),S25)-IF(R25="",0,R25))</f>
        <v/>
      </c>
      <c r="AK25" s="18">
        <f>IF(C25="","",IF(OR(O25="",P25=""),"Open",IF(ABS(AJ25)&lt;=BEThreshold,"BE",IF(AJ25&gt;0,"Win","Loss"))))</f>
        <v/>
      </c>
      <c r="AL25" s="28">
        <f>IF(OR(C25="",AK25="Open"),"",InitialCapital+SUMIFS($AJ$2:AJ25,$AK$2:AK25,"&lt;&gt;Open"))</f>
        <v/>
      </c>
      <c r="AM25" s="18">
        <f>IF(OR(C25="",AK25=""),"",IF(AK25="Open","No","Yes"))</f>
        <v/>
      </c>
    </row>
    <row r="26" ht="18" customHeight="1">
      <c r="A26" s="18">
        <f>IF(C26="","",COUNTA($C$2:C26))</f>
        <v/>
      </c>
      <c r="B26" s="18">
        <f>IF(C26="","",TEXT(C26,"dddd"))</f>
        <v/>
      </c>
      <c r="C26" s="19" t="n"/>
      <c r="D26" s="20" t="n"/>
      <c r="E26" s="21" t="n"/>
      <c r="F26" s="21" t="n"/>
      <c r="G26" s="21" t="n"/>
      <c r="H26" s="22" t="n"/>
      <c r="I26" s="23" t="n"/>
      <c r="J26" s="22" t="n"/>
      <c r="K26" s="24" t="n"/>
      <c r="L26" s="24" t="n"/>
      <c r="M26" s="24" t="n"/>
      <c r="N26" s="21" t="n"/>
      <c r="O26" s="24" t="n"/>
      <c r="P26" s="19" t="n"/>
      <c r="Q26" s="20" t="n"/>
      <c r="R26" s="23" t="n"/>
      <c r="S26" s="23" t="n"/>
      <c r="T26" s="21" t="n"/>
      <c r="U26" s="21" t="n"/>
      <c r="V26" s="21" t="n"/>
      <c r="W26" s="21" t="n"/>
      <c r="X26" s="21" t="n"/>
      <c r="Y26" s="25">
        <f>IF($C26="","",IF(E26="XAUUSD",0.1,IF(ISNUMBER(SEARCH("JPY",E26)),0.01,0.0001)))</f>
        <v/>
      </c>
      <c r="Z26" s="18">
        <f>IF($C26="","",IF(F26="Sell",-1,1))</f>
        <v/>
      </c>
      <c r="AA26" s="18">
        <f>IF($C26="","",IF(E26="XAUUSD",100,100000))</f>
        <v/>
      </c>
      <c r="AB26" s="26">
        <f>IF(OR(K26="",L26=""),"",ABS(K26-L26)/Y26)</f>
        <v/>
      </c>
      <c r="AC26" s="26">
        <f>IF(OR(K26="",M26=""),"",ABS(M26-K26)/Y26)</f>
        <v/>
      </c>
      <c r="AD26" s="26">
        <f>IF(OR(K26="",O26=""),"",(O26-K26)*Z26/Y26)</f>
        <v/>
      </c>
      <c r="AE26" s="27">
        <f>IF(OR(AB26="",AB26=0,AC26=""),"",AC26/AB26)</f>
        <v/>
      </c>
      <c r="AF26" s="27">
        <f>IF(OR(AB26="",AB26=0,AD26=""),"",AD26/AB26)</f>
        <v/>
      </c>
      <c r="AG26" s="27">
        <f>IF(OR(C26="",P26=""),"",((P26+IF(Q26="",0,Q26))-(C26+IF(D26="",0,D26)))*24)</f>
        <v/>
      </c>
      <c r="AH26" s="18">
        <f>IF(AG26="","",INT(AG26/24)&amp;"d "&amp;INT(MOD(AG26,24))&amp;"h "&amp;INT(MOD(AG26*60,60))&amp;"m")</f>
        <v/>
      </c>
      <c r="AI26" s="28">
        <f>IF(OR(O26="",K26="",H26=""),"",IF(OR(E26="XAUUSD",RIGHT(E26,3)="USD"),(O26-K26)*Z26*AA26*H26,IF(LEFT(E26,3)="USD",IF(O26=0,"",(O26-K26)*Z26*AA26*H26/O26),AD26*10*H26)))</f>
        <v/>
      </c>
      <c r="AJ26" s="28">
        <f>IF(O26="","",IF(S26="",IF(AI26="",0,AI26),S26)-IF(R26="",0,R26))</f>
        <v/>
      </c>
      <c r="AK26" s="18">
        <f>IF(C26="","",IF(OR(O26="",P26=""),"Open",IF(ABS(AJ26)&lt;=BEThreshold,"BE",IF(AJ26&gt;0,"Win","Loss"))))</f>
        <v/>
      </c>
      <c r="AL26" s="28">
        <f>IF(OR(C26="",AK26="Open"),"",InitialCapital+SUMIFS($AJ$2:AJ26,$AK$2:AK26,"&lt;&gt;Open"))</f>
        <v/>
      </c>
      <c r="AM26" s="18">
        <f>IF(OR(C26="",AK26=""),"",IF(AK26="Open","No","Yes"))</f>
        <v/>
      </c>
    </row>
    <row r="27" ht="18" customHeight="1">
      <c r="A27" s="18">
        <f>IF(C27="","",COUNTA($C$2:C27))</f>
        <v/>
      </c>
      <c r="B27" s="18">
        <f>IF(C27="","",TEXT(C27,"dddd"))</f>
        <v/>
      </c>
      <c r="C27" s="19" t="n"/>
      <c r="D27" s="20" t="n"/>
      <c r="E27" s="21" t="n"/>
      <c r="F27" s="21" t="n"/>
      <c r="G27" s="21" t="n"/>
      <c r="H27" s="22" t="n"/>
      <c r="I27" s="23" t="n"/>
      <c r="J27" s="22" t="n"/>
      <c r="K27" s="24" t="n"/>
      <c r="L27" s="24" t="n"/>
      <c r="M27" s="24" t="n"/>
      <c r="N27" s="21" t="n"/>
      <c r="O27" s="24" t="n"/>
      <c r="P27" s="19" t="n"/>
      <c r="Q27" s="20" t="n"/>
      <c r="R27" s="23" t="n"/>
      <c r="S27" s="23" t="n"/>
      <c r="T27" s="21" t="n"/>
      <c r="U27" s="21" t="n"/>
      <c r="V27" s="21" t="n"/>
      <c r="W27" s="21" t="n"/>
      <c r="X27" s="21" t="n"/>
      <c r="Y27" s="25">
        <f>IF($C27="","",IF(E27="XAUUSD",0.1,IF(ISNUMBER(SEARCH("JPY",E27)),0.01,0.0001)))</f>
        <v/>
      </c>
      <c r="Z27" s="18">
        <f>IF($C27="","",IF(F27="Sell",-1,1))</f>
        <v/>
      </c>
      <c r="AA27" s="18">
        <f>IF($C27="","",IF(E27="XAUUSD",100,100000))</f>
        <v/>
      </c>
      <c r="AB27" s="26">
        <f>IF(OR(K27="",L27=""),"",ABS(K27-L27)/Y27)</f>
        <v/>
      </c>
      <c r="AC27" s="26">
        <f>IF(OR(K27="",M27=""),"",ABS(M27-K27)/Y27)</f>
        <v/>
      </c>
      <c r="AD27" s="26">
        <f>IF(OR(K27="",O27=""),"",(O27-K27)*Z27/Y27)</f>
        <v/>
      </c>
      <c r="AE27" s="27">
        <f>IF(OR(AB27="",AB27=0,AC27=""),"",AC27/AB27)</f>
        <v/>
      </c>
      <c r="AF27" s="27">
        <f>IF(OR(AB27="",AB27=0,AD27=""),"",AD27/AB27)</f>
        <v/>
      </c>
      <c r="AG27" s="27">
        <f>IF(OR(C27="",P27=""),"",((P27+IF(Q27="",0,Q27))-(C27+IF(D27="",0,D27)))*24)</f>
        <v/>
      </c>
      <c r="AH27" s="18">
        <f>IF(AG27="","",INT(AG27/24)&amp;"d "&amp;INT(MOD(AG27,24))&amp;"h "&amp;INT(MOD(AG27*60,60))&amp;"m")</f>
        <v/>
      </c>
      <c r="AI27" s="28">
        <f>IF(OR(O27="",K27="",H27=""),"",IF(OR(E27="XAUUSD",RIGHT(E27,3)="USD"),(O27-K27)*Z27*AA27*H27,IF(LEFT(E27,3)="USD",IF(O27=0,"",(O27-K27)*Z27*AA27*H27/O27),AD27*10*H27)))</f>
        <v/>
      </c>
      <c r="AJ27" s="28">
        <f>IF(O27="","",IF(S27="",IF(AI27="",0,AI27),S27)-IF(R27="",0,R27))</f>
        <v/>
      </c>
      <c r="AK27" s="18">
        <f>IF(C27="","",IF(OR(O27="",P27=""),"Open",IF(ABS(AJ27)&lt;=BEThreshold,"BE",IF(AJ27&gt;0,"Win","Loss"))))</f>
        <v/>
      </c>
      <c r="AL27" s="28">
        <f>IF(OR(C27="",AK27="Open"),"",InitialCapital+SUMIFS($AJ$2:AJ27,$AK$2:AK27,"&lt;&gt;Open"))</f>
        <v/>
      </c>
      <c r="AM27" s="18">
        <f>IF(OR(C27="",AK27=""),"",IF(AK27="Open","No","Yes"))</f>
        <v/>
      </c>
    </row>
    <row r="28" ht="18" customHeight="1">
      <c r="A28" s="18">
        <f>IF(C28="","",COUNTA($C$2:C28))</f>
        <v/>
      </c>
      <c r="B28" s="18">
        <f>IF(C28="","",TEXT(C28,"dddd"))</f>
        <v/>
      </c>
      <c r="C28" s="19" t="n"/>
      <c r="D28" s="20" t="n"/>
      <c r="E28" s="21" t="n"/>
      <c r="F28" s="21" t="n"/>
      <c r="G28" s="21" t="n"/>
      <c r="H28" s="22" t="n"/>
      <c r="I28" s="23" t="n"/>
      <c r="J28" s="22" t="n"/>
      <c r="K28" s="24" t="n"/>
      <c r="L28" s="24" t="n"/>
      <c r="M28" s="24" t="n"/>
      <c r="N28" s="21" t="n"/>
      <c r="O28" s="24" t="n"/>
      <c r="P28" s="19" t="n"/>
      <c r="Q28" s="20" t="n"/>
      <c r="R28" s="23" t="n"/>
      <c r="S28" s="23" t="n"/>
      <c r="T28" s="21" t="n"/>
      <c r="U28" s="21" t="n"/>
      <c r="V28" s="21" t="n"/>
      <c r="W28" s="21" t="n"/>
      <c r="X28" s="21" t="n"/>
      <c r="Y28" s="25">
        <f>IF($C28="","",IF(E28="XAUUSD",0.1,IF(ISNUMBER(SEARCH("JPY",E28)),0.01,0.0001)))</f>
        <v/>
      </c>
      <c r="Z28" s="18">
        <f>IF($C28="","",IF(F28="Sell",-1,1))</f>
        <v/>
      </c>
      <c r="AA28" s="18">
        <f>IF($C28="","",IF(E28="XAUUSD",100,100000))</f>
        <v/>
      </c>
      <c r="AB28" s="26">
        <f>IF(OR(K28="",L28=""),"",ABS(K28-L28)/Y28)</f>
        <v/>
      </c>
      <c r="AC28" s="26">
        <f>IF(OR(K28="",M28=""),"",ABS(M28-K28)/Y28)</f>
        <v/>
      </c>
      <c r="AD28" s="26">
        <f>IF(OR(K28="",O28=""),"",(O28-K28)*Z28/Y28)</f>
        <v/>
      </c>
      <c r="AE28" s="27">
        <f>IF(OR(AB28="",AB28=0,AC28=""),"",AC28/AB28)</f>
        <v/>
      </c>
      <c r="AF28" s="27">
        <f>IF(OR(AB28="",AB28=0,AD28=""),"",AD28/AB28)</f>
        <v/>
      </c>
      <c r="AG28" s="27">
        <f>IF(OR(C28="",P28=""),"",((P28+IF(Q28="",0,Q28))-(C28+IF(D28="",0,D28)))*24)</f>
        <v/>
      </c>
      <c r="AH28" s="18">
        <f>IF(AG28="","",INT(AG28/24)&amp;"d "&amp;INT(MOD(AG28,24))&amp;"h "&amp;INT(MOD(AG28*60,60))&amp;"m")</f>
        <v/>
      </c>
      <c r="AI28" s="28">
        <f>IF(OR(O28="",K28="",H28=""),"",IF(OR(E28="XAUUSD",RIGHT(E28,3)="USD"),(O28-K28)*Z28*AA28*H28,IF(LEFT(E28,3)="USD",IF(O28=0,"",(O28-K28)*Z28*AA28*H28/O28),AD28*10*H28)))</f>
        <v/>
      </c>
      <c r="AJ28" s="28">
        <f>IF(O28="","",IF(S28="",IF(AI28="",0,AI28),S28)-IF(R28="",0,R28))</f>
        <v/>
      </c>
      <c r="AK28" s="18">
        <f>IF(C28="","",IF(OR(O28="",P28=""),"Open",IF(ABS(AJ28)&lt;=BEThreshold,"BE",IF(AJ28&gt;0,"Win","Loss"))))</f>
        <v/>
      </c>
      <c r="AL28" s="28">
        <f>IF(OR(C28="",AK28="Open"),"",InitialCapital+SUMIFS($AJ$2:AJ28,$AK$2:AK28,"&lt;&gt;Open"))</f>
        <v/>
      </c>
      <c r="AM28" s="18">
        <f>IF(OR(C28="",AK28=""),"",IF(AK28="Open","No","Yes"))</f>
        <v/>
      </c>
    </row>
    <row r="29" ht="18" customHeight="1">
      <c r="A29" s="18">
        <f>IF(C29="","",COUNTA($C$2:C29))</f>
        <v/>
      </c>
      <c r="B29" s="18">
        <f>IF(C29="","",TEXT(C29,"dddd"))</f>
        <v/>
      </c>
      <c r="C29" s="19" t="n"/>
      <c r="D29" s="20" t="n"/>
      <c r="E29" s="21" t="n"/>
      <c r="F29" s="21" t="n"/>
      <c r="G29" s="21" t="n"/>
      <c r="H29" s="22" t="n"/>
      <c r="I29" s="23" t="n"/>
      <c r="J29" s="22" t="n"/>
      <c r="K29" s="24" t="n"/>
      <c r="L29" s="24" t="n"/>
      <c r="M29" s="24" t="n"/>
      <c r="N29" s="21" t="n"/>
      <c r="O29" s="24" t="n"/>
      <c r="P29" s="19" t="n"/>
      <c r="Q29" s="20" t="n"/>
      <c r="R29" s="23" t="n"/>
      <c r="S29" s="23" t="n"/>
      <c r="T29" s="21" t="n"/>
      <c r="U29" s="21" t="n"/>
      <c r="V29" s="21" t="n"/>
      <c r="W29" s="21" t="n"/>
      <c r="X29" s="21" t="n"/>
      <c r="Y29" s="25">
        <f>IF($C29="","",IF(E29="XAUUSD",0.1,IF(ISNUMBER(SEARCH("JPY",E29)),0.01,0.0001)))</f>
        <v/>
      </c>
      <c r="Z29" s="18">
        <f>IF($C29="","",IF(F29="Sell",-1,1))</f>
        <v/>
      </c>
      <c r="AA29" s="18">
        <f>IF($C29="","",IF(E29="XAUUSD",100,100000))</f>
        <v/>
      </c>
      <c r="AB29" s="26">
        <f>IF(OR(K29="",L29=""),"",ABS(K29-L29)/Y29)</f>
        <v/>
      </c>
      <c r="AC29" s="26">
        <f>IF(OR(K29="",M29=""),"",ABS(M29-K29)/Y29)</f>
        <v/>
      </c>
      <c r="AD29" s="26">
        <f>IF(OR(K29="",O29=""),"",(O29-K29)*Z29/Y29)</f>
        <v/>
      </c>
      <c r="AE29" s="27">
        <f>IF(OR(AB29="",AB29=0,AC29=""),"",AC29/AB29)</f>
        <v/>
      </c>
      <c r="AF29" s="27">
        <f>IF(OR(AB29="",AB29=0,AD29=""),"",AD29/AB29)</f>
        <v/>
      </c>
      <c r="AG29" s="27">
        <f>IF(OR(C29="",P29=""),"",((P29+IF(Q29="",0,Q29))-(C29+IF(D29="",0,D29)))*24)</f>
        <v/>
      </c>
      <c r="AH29" s="18">
        <f>IF(AG29="","",INT(AG29/24)&amp;"d "&amp;INT(MOD(AG29,24))&amp;"h "&amp;INT(MOD(AG29*60,60))&amp;"m")</f>
        <v/>
      </c>
      <c r="AI29" s="28">
        <f>IF(OR(O29="",K29="",H29=""),"",IF(OR(E29="XAUUSD",RIGHT(E29,3)="USD"),(O29-K29)*Z29*AA29*H29,IF(LEFT(E29,3)="USD",IF(O29=0,"",(O29-K29)*Z29*AA29*H29/O29),AD29*10*H29)))</f>
        <v/>
      </c>
      <c r="AJ29" s="28">
        <f>IF(O29="","",IF(S29="",IF(AI29="",0,AI29),S29)-IF(R29="",0,R29))</f>
        <v/>
      </c>
      <c r="AK29" s="18">
        <f>IF(C29="","",IF(OR(O29="",P29=""),"Open",IF(ABS(AJ29)&lt;=BEThreshold,"BE",IF(AJ29&gt;0,"Win","Loss"))))</f>
        <v/>
      </c>
      <c r="AL29" s="28">
        <f>IF(OR(C29="",AK29="Open"),"",InitialCapital+SUMIFS($AJ$2:AJ29,$AK$2:AK29,"&lt;&gt;Open"))</f>
        <v/>
      </c>
      <c r="AM29" s="18">
        <f>IF(OR(C29="",AK29=""),"",IF(AK29="Open","No","Yes"))</f>
        <v/>
      </c>
    </row>
    <row r="30" ht="18" customHeight="1">
      <c r="A30" s="18">
        <f>IF(C30="","",COUNTA($C$2:C30))</f>
        <v/>
      </c>
      <c r="B30" s="18">
        <f>IF(C30="","",TEXT(C30,"dddd"))</f>
        <v/>
      </c>
      <c r="C30" s="19" t="n"/>
      <c r="D30" s="20" t="n"/>
      <c r="E30" s="21" t="n"/>
      <c r="F30" s="21" t="n"/>
      <c r="G30" s="21" t="n"/>
      <c r="H30" s="22" t="n"/>
      <c r="I30" s="23" t="n"/>
      <c r="J30" s="22" t="n"/>
      <c r="K30" s="24" t="n"/>
      <c r="L30" s="24" t="n"/>
      <c r="M30" s="24" t="n"/>
      <c r="N30" s="21" t="n"/>
      <c r="O30" s="24" t="n"/>
      <c r="P30" s="19" t="n"/>
      <c r="Q30" s="20" t="n"/>
      <c r="R30" s="23" t="n"/>
      <c r="S30" s="23" t="n"/>
      <c r="T30" s="21" t="n"/>
      <c r="U30" s="21" t="n"/>
      <c r="V30" s="21" t="n"/>
      <c r="W30" s="21" t="n"/>
      <c r="X30" s="21" t="n"/>
      <c r="Y30" s="25">
        <f>IF($C30="","",IF(E30="XAUUSD",0.1,IF(ISNUMBER(SEARCH("JPY",E30)),0.01,0.0001)))</f>
        <v/>
      </c>
      <c r="Z30" s="18">
        <f>IF($C30="","",IF(F30="Sell",-1,1))</f>
        <v/>
      </c>
      <c r="AA30" s="18">
        <f>IF($C30="","",IF(E30="XAUUSD",100,100000))</f>
        <v/>
      </c>
      <c r="AB30" s="26">
        <f>IF(OR(K30="",L30=""),"",ABS(K30-L30)/Y30)</f>
        <v/>
      </c>
      <c r="AC30" s="26">
        <f>IF(OR(K30="",M30=""),"",ABS(M30-K30)/Y30)</f>
        <v/>
      </c>
      <c r="AD30" s="26">
        <f>IF(OR(K30="",O30=""),"",(O30-K30)*Z30/Y30)</f>
        <v/>
      </c>
      <c r="AE30" s="27">
        <f>IF(OR(AB30="",AB30=0,AC30=""),"",AC30/AB30)</f>
        <v/>
      </c>
      <c r="AF30" s="27">
        <f>IF(OR(AB30="",AB30=0,AD30=""),"",AD30/AB30)</f>
        <v/>
      </c>
      <c r="AG30" s="27">
        <f>IF(OR(C30="",P30=""),"",((P30+IF(Q30="",0,Q30))-(C30+IF(D30="",0,D30)))*24)</f>
        <v/>
      </c>
      <c r="AH30" s="18">
        <f>IF(AG30="","",INT(AG30/24)&amp;"d "&amp;INT(MOD(AG30,24))&amp;"h "&amp;INT(MOD(AG30*60,60))&amp;"m")</f>
        <v/>
      </c>
      <c r="AI30" s="28">
        <f>IF(OR(O30="",K30="",H30=""),"",IF(OR(E30="XAUUSD",RIGHT(E30,3)="USD"),(O30-K30)*Z30*AA30*H30,IF(LEFT(E30,3)="USD",IF(O30=0,"",(O30-K30)*Z30*AA30*H30/O30),AD30*10*H30)))</f>
        <v/>
      </c>
      <c r="AJ30" s="28">
        <f>IF(O30="","",IF(S30="",IF(AI30="",0,AI30),S30)-IF(R30="",0,R30))</f>
        <v/>
      </c>
      <c r="AK30" s="18">
        <f>IF(C30="","",IF(OR(O30="",P30=""),"Open",IF(ABS(AJ30)&lt;=BEThreshold,"BE",IF(AJ30&gt;0,"Win","Loss"))))</f>
        <v/>
      </c>
      <c r="AL30" s="28">
        <f>IF(OR(C30="",AK30="Open"),"",InitialCapital+SUMIFS($AJ$2:AJ30,$AK$2:AK30,"&lt;&gt;Open"))</f>
        <v/>
      </c>
      <c r="AM30" s="18">
        <f>IF(OR(C30="",AK30=""),"",IF(AK30="Open","No","Yes"))</f>
        <v/>
      </c>
    </row>
    <row r="31" ht="18" customHeight="1">
      <c r="A31" s="18">
        <f>IF(C31="","",COUNTA($C$2:C31))</f>
        <v/>
      </c>
      <c r="B31" s="18">
        <f>IF(C31="","",TEXT(C31,"dddd"))</f>
        <v/>
      </c>
      <c r="C31" s="19" t="n"/>
      <c r="D31" s="20" t="n"/>
      <c r="E31" s="21" t="n"/>
      <c r="F31" s="21" t="n"/>
      <c r="G31" s="21" t="n"/>
      <c r="H31" s="22" t="n"/>
      <c r="I31" s="23" t="n"/>
      <c r="J31" s="22" t="n"/>
      <c r="K31" s="24" t="n"/>
      <c r="L31" s="24" t="n"/>
      <c r="M31" s="24" t="n"/>
      <c r="N31" s="21" t="n"/>
      <c r="O31" s="24" t="n"/>
      <c r="P31" s="19" t="n"/>
      <c r="Q31" s="20" t="n"/>
      <c r="R31" s="23" t="n"/>
      <c r="S31" s="23" t="n"/>
      <c r="T31" s="21" t="n"/>
      <c r="U31" s="21" t="n"/>
      <c r="V31" s="21" t="n"/>
      <c r="W31" s="21" t="n"/>
      <c r="X31" s="21" t="n"/>
      <c r="Y31" s="25">
        <f>IF($C31="","",IF(E31="XAUUSD",0.1,IF(ISNUMBER(SEARCH("JPY",E31)),0.01,0.0001)))</f>
        <v/>
      </c>
      <c r="Z31" s="18">
        <f>IF($C31="","",IF(F31="Sell",-1,1))</f>
        <v/>
      </c>
      <c r="AA31" s="18">
        <f>IF($C31="","",IF(E31="XAUUSD",100,100000))</f>
        <v/>
      </c>
      <c r="AB31" s="26">
        <f>IF(OR(K31="",L31=""),"",ABS(K31-L31)/Y31)</f>
        <v/>
      </c>
      <c r="AC31" s="26">
        <f>IF(OR(K31="",M31=""),"",ABS(M31-K31)/Y31)</f>
        <v/>
      </c>
      <c r="AD31" s="26">
        <f>IF(OR(K31="",O31=""),"",(O31-K31)*Z31/Y31)</f>
        <v/>
      </c>
      <c r="AE31" s="27">
        <f>IF(OR(AB31="",AB31=0,AC31=""),"",AC31/AB31)</f>
        <v/>
      </c>
      <c r="AF31" s="27">
        <f>IF(OR(AB31="",AB31=0,AD31=""),"",AD31/AB31)</f>
        <v/>
      </c>
      <c r="AG31" s="27">
        <f>IF(OR(C31="",P31=""),"",((P31+IF(Q31="",0,Q31))-(C31+IF(D31="",0,D31)))*24)</f>
        <v/>
      </c>
      <c r="AH31" s="18">
        <f>IF(AG31="","",INT(AG31/24)&amp;"d "&amp;INT(MOD(AG31,24))&amp;"h "&amp;INT(MOD(AG31*60,60))&amp;"m")</f>
        <v/>
      </c>
      <c r="AI31" s="28">
        <f>IF(OR(O31="",K31="",H31=""),"",IF(OR(E31="XAUUSD",RIGHT(E31,3)="USD"),(O31-K31)*Z31*AA31*H31,IF(LEFT(E31,3)="USD",IF(O31=0,"",(O31-K31)*Z31*AA31*H31/O31),AD31*10*H31)))</f>
        <v/>
      </c>
      <c r="AJ31" s="28">
        <f>IF(O31="","",IF(S31="",IF(AI31="",0,AI31),S31)-IF(R31="",0,R31))</f>
        <v/>
      </c>
      <c r="AK31" s="18">
        <f>IF(C31="","",IF(OR(O31="",P31=""),"Open",IF(ABS(AJ31)&lt;=BEThreshold,"BE",IF(AJ31&gt;0,"Win","Loss"))))</f>
        <v/>
      </c>
      <c r="AL31" s="28">
        <f>IF(OR(C31="",AK31="Open"),"",InitialCapital+SUMIFS($AJ$2:AJ31,$AK$2:AK31,"&lt;&gt;Open"))</f>
        <v/>
      </c>
      <c r="AM31" s="18">
        <f>IF(OR(C31="",AK31=""),"",IF(AK31="Open","No","Yes"))</f>
        <v/>
      </c>
    </row>
    <row r="32" ht="18" customHeight="1">
      <c r="A32" s="18">
        <f>IF(C32="","",COUNTA($C$2:C32))</f>
        <v/>
      </c>
      <c r="B32" s="18">
        <f>IF(C32="","",TEXT(C32,"dddd"))</f>
        <v/>
      </c>
      <c r="C32" s="19" t="n"/>
      <c r="D32" s="20" t="n"/>
      <c r="E32" s="21" t="n"/>
      <c r="F32" s="21" t="n"/>
      <c r="G32" s="21" t="n"/>
      <c r="H32" s="22" t="n"/>
      <c r="I32" s="23" t="n"/>
      <c r="J32" s="22" t="n"/>
      <c r="K32" s="24" t="n"/>
      <c r="L32" s="24" t="n"/>
      <c r="M32" s="24" t="n"/>
      <c r="N32" s="21" t="n"/>
      <c r="O32" s="24" t="n"/>
      <c r="P32" s="19" t="n"/>
      <c r="Q32" s="20" t="n"/>
      <c r="R32" s="23" t="n"/>
      <c r="S32" s="23" t="n"/>
      <c r="T32" s="21" t="n"/>
      <c r="U32" s="21" t="n"/>
      <c r="V32" s="21" t="n"/>
      <c r="W32" s="21" t="n"/>
      <c r="X32" s="21" t="n"/>
      <c r="Y32" s="25">
        <f>IF($C32="","",IF(E32="XAUUSD",0.1,IF(ISNUMBER(SEARCH("JPY",E32)),0.01,0.0001)))</f>
        <v/>
      </c>
      <c r="Z32" s="18">
        <f>IF($C32="","",IF(F32="Sell",-1,1))</f>
        <v/>
      </c>
      <c r="AA32" s="18">
        <f>IF($C32="","",IF(E32="XAUUSD",100,100000))</f>
        <v/>
      </c>
      <c r="AB32" s="26">
        <f>IF(OR(K32="",L32=""),"",ABS(K32-L32)/Y32)</f>
        <v/>
      </c>
      <c r="AC32" s="26">
        <f>IF(OR(K32="",M32=""),"",ABS(M32-K32)/Y32)</f>
        <v/>
      </c>
      <c r="AD32" s="26">
        <f>IF(OR(K32="",O32=""),"",(O32-K32)*Z32/Y32)</f>
        <v/>
      </c>
      <c r="AE32" s="27">
        <f>IF(OR(AB32="",AB32=0,AC32=""),"",AC32/AB32)</f>
        <v/>
      </c>
      <c r="AF32" s="27">
        <f>IF(OR(AB32="",AB32=0,AD32=""),"",AD32/AB32)</f>
        <v/>
      </c>
      <c r="AG32" s="27">
        <f>IF(OR(C32="",P32=""),"",((P32+IF(Q32="",0,Q32))-(C32+IF(D32="",0,D32)))*24)</f>
        <v/>
      </c>
      <c r="AH32" s="18">
        <f>IF(AG32="","",INT(AG32/24)&amp;"d "&amp;INT(MOD(AG32,24))&amp;"h "&amp;INT(MOD(AG32*60,60))&amp;"m")</f>
        <v/>
      </c>
      <c r="AI32" s="28">
        <f>IF(OR(O32="",K32="",H32=""),"",IF(OR(E32="XAUUSD",RIGHT(E32,3)="USD"),(O32-K32)*Z32*AA32*H32,IF(LEFT(E32,3)="USD",IF(O32=0,"",(O32-K32)*Z32*AA32*H32/O32),AD32*10*H32)))</f>
        <v/>
      </c>
      <c r="AJ32" s="28">
        <f>IF(O32="","",IF(S32="",IF(AI32="",0,AI32),S32)-IF(R32="",0,R32))</f>
        <v/>
      </c>
      <c r="AK32" s="18">
        <f>IF(C32="","",IF(OR(O32="",P32=""),"Open",IF(ABS(AJ32)&lt;=BEThreshold,"BE",IF(AJ32&gt;0,"Win","Loss"))))</f>
        <v/>
      </c>
      <c r="AL32" s="28">
        <f>IF(OR(C32="",AK32="Open"),"",InitialCapital+SUMIFS($AJ$2:AJ32,$AK$2:AK32,"&lt;&gt;Open"))</f>
        <v/>
      </c>
      <c r="AM32" s="18">
        <f>IF(OR(C32="",AK32=""),"",IF(AK32="Open","No","Yes"))</f>
        <v/>
      </c>
    </row>
    <row r="33" ht="18" customHeight="1">
      <c r="A33" s="18">
        <f>IF(C33="","",COUNTA($C$2:C33))</f>
        <v/>
      </c>
      <c r="B33" s="18">
        <f>IF(C33="","",TEXT(C33,"dddd"))</f>
        <v/>
      </c>
      <c r="C33" s="19" t="n"/>
      <c r="D33" s="20" t="n"/>
      <c r="E33" s="21" t="n"/>
      <c r="F33" s="21" t="n"/>
      <c r="G33" s="21" t="n"/>
      <c r="H33" s="22" t="n"/>
      <c r="I33" s="23" t="n"/>
      <c r="J33" s="22" t="n"/>
      <c r="K33" s="24" t="n"/>
      <c r="L33" s="24" t="n"/>
      <c r="M33" s="24" t="n"/>
      <c r="N33" s="21" t="n"/>
      <c r="O33" s="24" t="n"/>
      <c r="P33" s="19" t="n"/>
      <c r="Q33" s="20" t="n"/>
      <c r="R33" s="23" t="n"/>
      <c r="S33" s="23" t="n"/>
      <c r="T33" s="21" t="n"/>
      <c r="U33" s="21" t="n"/>
      <c r="V33" s="21" t="n"/>
      <c r="W33" s="21" t="n"/>
      <c r="X33" s="21" t="n"/>
      <c r="Y33" s="25">
        <f>IF($C33="","",IF(E33="XAUUSD",0.1,IF(ISNUMBER(SEARCH("JPY",E33)),0.01,0.0001)))</f>
        <v/>
      </c>
      <c r="Z33" s="18">
        <f>IF($C33="","",IF(F33="Sell",-1,1))</f>
        <v/>
      </c>
      <c r="AA33" s="18">
        <f>IF($C33="","",IF(E33="XAUUSD",100,100000))</f>
        <v/>
      </c>
      <c r="AB33" s="26">
        <f>IF(OR(K33="",L33=""),"",ABS(K33-L33)/Y33)</f>
        <v/>
      </c>
      <c r="AC33" s="26">
        <f>IF(OR(K33="",M33=""),"",ABS(M33-K33)/Y33)</f>
        <v/>
      </c>
      <c r="AD33" s="26">
        <f>IF(OR(K33="",O33=""),"",(O33-K33)*Z33/Y33)</f>
        <v/>
      </c>
      <c r="AE33" s="27">
        <f>IF(OR(AB33="",AB33=0,AC33=""),"",AC33/AB33)</f>
        <v/>
      </c>
      <c r="AF33" s="27">
        <f>IF(OR(AB33="",AB33=0,AD33=""),"",AD33/AB33)</f>
        <v/>
      </c>
      <c r="AG33" s="27">
        <f>IF(OR(C33="",P33=""),"",((P33+IF(Q33="",0,Q33))-(C33+IF(D33="",0,D33)))*24)</f>
        <v/>
      </c>
      <c r="AH33" s="18">
        <f>IF(AG33="","",INT(AG33/24)&amp;"d "&amp;INT(MOD(AG33,24))&amp;"h "&amp;INT(MOD(AG33*60,60))&amp;"m")</f>
        <v/>
      </c>
      <c r="AI33" s="28">
        <f>IF(OR(O33="",K33="",H33=""),"",IF(OR(E33="XAUUSD",RIGHT(E33,3)="USD"),(O33-K33)*Z33*AA33*H33,IF(LEFT(E33,3)="USD",IF(O33=0,"",(O33-K33)*Z33*AA33*H33/O33),AD33*10*H33)))</f>
        <v/>
      </c>
      <c r="AJ33" s="28">
        <f>IF(O33="","",IF(S33="",IF(AI33="",0,AI33),S33)-IF(R33="",0,R33))</f>
        <v/>
      </c>
      <c r="AK33" s="18">
        <f>IF(C33="","",IF(OR(O33="",P33=""),"Open",IF(ABS(AJ33)&lt;=BEThreshold,"BE",IF(AJ33&gt;0,"Win","Loss"))))</f>
        <v/>
      </c>
      <c r="AL33" s="28">
        <f>IF(OR(C33="",AK33="Open"),"",InitialCapital+SUMIFS($AJ$2:AJ33,$AK$2:AK33,"&lt;&gt;Open"))</f>
        <v/>
      </c>
      <c r="AM33" s="18">
        <f>IF(OR(C33="",AK33=""),"",IF(AK33="Open","No","Yes"))</f>
        <v/>
      </c>
    </row>
    <row r="34" ht="18" customHeight="1">
      <c r="A34" s="18">
        <f>IF(C34="","",COUNTA($C$2:C34))</f>
        <v/>
      </c>
      <c r="B34" s="18">
        <f>IF(C34="","",TEXT(C34,"dddd"))</f>
        <v/>
      </c>
      <c r="C34" s="19" t="n"/>
      <c r="D34" s="20" t="n"/>
      <c r="E34" s="21" t="n"/>
      <c r="F34" s="21" t="n"/>
      <c r="G34" s="21" t="n"/>
      <c r="H34" s="22" t="n"/>
      <c r="I34" s="23" t="n"/>
      <c r="J34" s="22" t="n"/>
      <c r="K34" s="24" t="n"/>
      <c r="L34" s="24" t="n"/>
      <c r="M34" s="24" t="n"/>
      <c r="N34" s="21" t="n"/>
      <c r="O34" s="24" t="n"/>
      <c r="P34" s="19" t="n"/>
      <c r="Q34" s="20" t="n"/>
      <c r="R34" s="23" t="n"/>
      <c r="S34" s="23" t="n"/>
      <c r="T34" s="21" t="n"/>
      <c r="U34" s="21" t="n"/>
      <c r="V34" s="21" t="n"/>
      <c r="W34" s="21" t="n"/>
      <c r="X34" s="21" t="n"/>
      <c r="Y34" s="25">
        <f>IF($C34="","",IF(E34="XAUUSD",0.1,IF(ISNUMBER(SEARCH("JPY",E34)),0.01,0.0001)))</f>
        <v/>
      </c>
      <c r="Z34" s="18">
        <f>IF($C34="","",IF(F34="Sell",-1,1))</f>
        <v/>
      </c>
      <c r="AA34" s="18">
        <f>IF($C34="","",IF(E34="XAUUSD",100,100000))</f>
        <v/>
      </c>
      <c r="AB34" s="26">
        <f>IF(OR(K34="",L34=""),"",ABS(K34-L34)/Y34)</f>
        <v/>
      </c>
      <c r="AC34" s="26">
        <f>IF(OR(K34="",M34=""),"",ABS(M34-K34)/Y34)</f>
        <v/>
      </c>
      <c r="AD34" s="26">
        <f>IF(OR(K34="",O34=""),"",(O34-K34)*Z34/Y34)</f>
        <v/>
      </c>
      <c r="AE34" s="27">
        <f>IF(OR(AB34="",AB34=0,AC34=""),"",AC34/AB34)</f>
        <v/>
      </c>
      <c r="AF34" s="27">
        <f>IF(OR(AB34="",AB34=0,AD34=""),"",AD34/AB34)</f>
        <v/>
      </c>
      <c r="AG34" s="27">
        <f>IF(OR(C34="",P34=""),"",((P34+IF(Q34="",0,Q34))-(C34+IF(D34="",0,D34)))*24)</f>
        <v/>
      </c>
      <c r="AH34" s="18">
        <f>IF(AG34="","",INT(AG34/24)&amp;"d "&amp;INT(MOD(AG34,24))&amp;"h "&amp;INT(MOD(AG34*60,60))&amp;"m")</f>
        <v/>
      </c>
      <c r="AI34" s="28">
        <f>IF(OR(O34="",K34="",H34=""),"",IF(OR(E34="XAUUSD",RIGHT(E34,3)="USD"),(O34-K34)*Z34*AA34*H34,IF(LEFT(E34,3)="USD",IF(O34=0,"",(O34-K34)*Z34*AA34*H34/O34),AD34*10*H34)))</f>
        <v/>
      </c>
      <c r="AJ34" s="28">
        <f>IF(O34="","",IF(S34="",IF(AI34="",0,AI34),S34)-IF(R34="",0,R34))</f>
        <v/>
      </c>
      <c r="AK34" s="18">
        <f>IF(C34="","",IF(OR(O34="",P34=""),"Open",IF(ABS(AJ34)&lt;=BEThreshold,"BE",IF(AJ34&gt;0,"Win","Loss"))))</f>
        <v/>
      </c>
      <c r="AL34" s="28">
        <f>IF(OR(C34="",AK34="Open"),"",InitialCapital+SUMIFS($AJ$2:AJ34,$AK$2:AK34,"&lt;&gt;Open"))</f>
        <v/>
      </c>
      <c r="AM34" s="18">
        <f>IF(OR(C34="",AK34=""),"",IF(AK34="Open","No","Yes"))</f>
        <v/>
      </c>
    </row>
    <row r="35" ht="18" customHeight="1">
      <c r="A35" s="18">
        <f>IF(C35="","",COUNTA($C$2:C35))</f>
        <v/>
      </c>
      <c r="B35" s="18">
        <f>IF(C35="","",TEXT(C35,"dddd"))</f>
        <v/>
      </c>
      <c r="C35" s="19" t="n"/>
      <c r="D35" s="20" t="n"/>
      <c r="E35" s="21" t="n"/>
      <c r="F35" s="21" t="n"/>
      <c r="G35" s="21" t="n"/>
      <c r="H35" s="22" t="n"/>
      <c r="I35" s="23" t="n"/>
      <c r="J35" s="22" t="n"/>
      <c r="K35" s="24" t="n"/>
      <c r="L35" s="24" t="n"/>
      <c r="M35" s="24" t="n"/>
      <c r="N35" s="21" t="n"/>
      <c r="O35" s="24" t="n"/>
      <c r="P35" s="19" t="n"/>
      <c r="Q35" s="20" t="n"/>
      <c r="R35" s="23" t="n"/>
      <c r="S35" s="23" t="n"/>
      <c r="T35" s="21" t="n"/>
      <c r="U35" s="21" t="n"/>
      <c r="V35" s="21" t="n"/>
      <c r="W35" s="21" t="n"/>
      <c r="X35" s="21" t="n"/>
      <c r="Y35" s="25">
        <f>IF($C35="","",IF(E35="XAUUSD",0.1,IF(ISNUMBER(SEARCH("JPY",E35)),0.01,0.0001)))</f>
        <v/>
      </c>
      <c r="Z35" s="18">
        <f>IF($C35="","",IF(F35="Sell",-1,1))</f>
        <v/>
      </c>
      <c r="AA35" s="18">
        <f>IF($C35="","",IF(E35="XAUUSD",100,100000))</f>
        <v/>
      </c>
      <c r="AB35" s="26">
        <f>IF(OR(K35="",L35=""),"",ABS(K35-L35)/Y35)</f>
        <v/>
      </c>
      <c r="AC35" s="26">
        <f>IF(OR(K35="",M35=""),"",ABS(M35-K35)/Y35)</f>
        <v/>
      </c>
      <c r="AD35" s="26">
        <f>IF(OR(K35="",O35=""),"",(O35-K35)*Z35/Y35)</f>
        <v/>
      </c>
      <c r="AE35" s="27">
        <f>IF(OR(AB35="",AB35=0,AC35=""),"",AC35/AB35)</f>
        <v/>
      </c>
      <c r="AF35" s="27">
        <f>IF(OR(AB35="",AB35=0,AD35=""),"",AD35/AB35)</f>
        <v/>
      </c>
      <c r="AG35" s="27">
        <f>IF(OR(C35="",P35=""),"",((P35+IF(Q35="",0,Q35))-(C35+IF(D35="",0,D35)))*24)</f>
        <v/>
      </c>
      <c r="AH35" s="18">
        <f>IF(AG35="","",INT(AG35/24)&amp;"d "&amp;INT(MOD(AG35,24))&amp;"h "&amp;INT(MOD(AG35*60,60))&amp;"m")</f>
        <v/>
      </c>
      <c r="AI35" s="28">
        <f>IF(OR(O35="",K35="",H35=""),"",IF(OR(E35="XAUUSD",RIGHT(E35,3)="USD"),(O35-K35)*Z35*AA35*H35,IF(LEFT(E35,3)="USD",IF(O35=0,"",(O35-K35)*Z35*AA35*H35/O35),AD35*10*H35)))</f>
        <v/>
      </c>
      <c r="AJ35" s="28">
        <f>IF(O35="","",IF(S35="",IF(AI35="",0,AI35),S35)-IF(R35="",0,R35))</f>
        <v/>
      </c>
      <c r="AK35" s="18">
        <f>IF(C35="","",IF(OR(O35="",P35=""),"Open",IF(ABS(AJ35)&lt;=BEThreshold,"BE",IF(AJ35&gt;0,"Win","Loss"))))</f>
        <v/>
      </c>
      <c r="AL35" s="28">
        <f>IF(OR(C35="",AK35="Open"),"",InitialCapital+SUMIFS($AJ$2:AJ35,$AK$2:AK35,"&lt;&gt;Open"))</f>
        <v/>
      </c>
      <c r="AM35" s="18">
        <f>IF(OR(C35="",AK35=""),"",IF(AK35="Open","No","Yes"))</f>
        <v/>
      </c>
    </row>
    <row r="36" ht="18" customHeight="1">
      <c r="A36" s="18">
        <f>IF(C36="","",COUNTA($C$2:C36))</f>
        <v/>
      </c>
      <c r="B36" s="18">
        <f>IF(C36="","",TEXT(C36,"dddd"))</f>
        <v/>
      </c>
      <c r="C36" s="19" t="n"/>
      <c r="D36" s="20" t="n"/>
      <c r="E36" s="21" t="n"/>
      <c r="F36" s="21" t="n"/>
      <c r="G36" s="21" t="n"/>
      <c r="H36" s="22" t="n"/>
      <c r="I36" s="23" t="n"/>
      <c r="J36" s="22" t="n"/>
      <c r="K36" s="24" t="n"/>
      <c r="L36" s="24" t="n"/>
      <c r="M36" s="24" t="n"/>
      <c r="N36" s="21" t="n"/>
      <c r="O36" s="24" t="n"/>
      <c r="P36" s="19" t="n"/>
      <c r="Q36" s="20" t="n"/>
      <c r="R36" s="23" t="n"/>
      <c r="S36" s="23" t="n"/>
      <c r="T36" s="21" t="n"/>
      <c r="U36" s="21" t="n"/>
      <c r="V36" s="21" t="n"/>
      <c r="W36" s="21" t="n"/>
      <c r="X36" s="21" t="n"/>
      <c r="Y36" s="25">
        <f>IF($C36="","",IF(E36="XAUUSD",0.1,IF(ISNUMBER(SEARCH("JPY",E36)),0.01,0.0001)))</f>
        <v/>
      </c>
      <c r="Z36" s="18">
        <f>IF($C36="","",IF(F36="Sell",-1,1))</f>
        <v/>
      </c>
      <c r="AA36" s="18">
        <f>IF($C36="","",IF(E36="XAUUSD",100,100000))</f>
        <v/>
      </c>
      <c r="AB36" s="26">
        <f>IF(OR(K36="",L36=""),"",ABS(K36-L36)/Y36)</f>
        <v/>
      </c>
      <c r="AC36" s="26">
        <f>IF(OR(K36="",M36=""),"",ABS(M36-K36)/Y36)</f>
        <v/>
      </c>
      <c r="AD36" s="26">
        <f>IF(OR(K36="",O36=""),"",(O36-K36)*Z36/Y36)</f>
        <v/>
      </c>
      <c r="AE36" s="27">
        <f>IF(OR(AB36="",AB36=0,AC36=""),"",AC36/AB36)</f>
        <v/>
      </c>
      <c r="AF36" s="27">
        <f>IF(OR(AB36="",AB36=0,AD36=""),"",AD36/AB36)</f>
        <v/>
      </c>
      <c r="AG36" s="27">
        <f>IF(OR(C36="",P36=""),"",((P36+IF(Q36="",0,Q36))-(C36+IF(D36="",0,D36)))*24)</f>
        <v/>
      </c>
      <c r="AH36" s="18">
        <f>IF(AG36="","",INT(AG36/24)&amp;"d "&amp;INT(MOD(AG36,24))&amp;"h "&amp;INT(MOD(AG36*60,60))&amp;"m")</f>
        <v/>
      </c>
      <c r="AI36" s="28">
        <f>IF(OR(O36="",K36="",H36=""),"",IF(OR(E36="XAUUSD",RIGHT(E36,3)="USD"),(O36-K36)*Z36*AA36*H36,IF(LEFT(E36,3)="USD",IF(O36=0,"",(O36-K36)*Z36*AA36*H36/O36),AD36*10*H36)))</f>
        <v/>
      </c>
      <c r="AJ36" s="28">
        <f>IF(O36="","",IF(S36="",IF(AI36="",0,AI36),S36)-IF(R36="",0,R36))</f>
        <v/>
      </c>
      <c r="AK36" s="18">
        <f>IF(C36="","",IF(OR(O36="",P36=""),"Open",IF(ABS(AJ36)&lt;=BEThreshold,"BE",IF(AJ36&gt;0,"Win","Loss"))))</f>
        <v/>
      </c>
      <c r="AL36" s="28">
        <f>IF(OR(C36="",AK36="Open"),"",InitialCapital+SUMIFS($AJ$2:AJ36,$AK$2:AK36,"&lt;&gt;Open"))</f>
        <v/>
      </c>
      <c r="AM36" s="18">
        <f>IF(OR(C36="",AK36=""),"",IF(AK36="Open","No","Yes"))</f>
        <v/>
      </c>
    </row>
    <row r="37" ht="18" customHeight="1">
      <c r="A37" s="18">
        <f>IF(C37="","",COUNTA($C$2:C37))</f>
        <v/>
      </c>
      <c r="B37" s="18">
        <f>IF(C37="","",TEXT(C37,"dddd"))</f>
        <v/>
      </c>
      <c r="C37" s="19" t="n"/>
      <c r="D37" s="20" t="n"/>
      <c r="E37" s="21" t="n"/>
      <c r="F37" s="21" t="n"/>
      <c r="G37" s="21" t="n"/>
      <c r="H37" s="22" t="n"/>
      <c r="I37" s="23" t="n"/>
      <c r="J37" s="22" t="n"/>
      <c r="K37" s="24" t="n"/>
      <c r="L37" s="24" t="n"/>
      <c r="M37" s="24" t="n"/>
      <c r="N37" s="21" t="n"/>
      <c r="O37" s="24" t="n"/>
      <c r="P37" s="19" t="n"/>
      <c r="Q37" s="20" t="n"/>
      <c r="R37" s="23" t="n"/>
      <c r="S37" s="23" t="n"/>
      <c r="T37" s="21" t="n"/>
      <c r="U37" s="21" t="n"/>
      <c r="V37" s="21" t="n"/>
      <c r="W37" s="21" t="n"/>
      <c r="X37" s="21" t="n"/>
      <c r="Y37" s="25">
        <f>IF($C37="","",IF(E37="XAUUSD",0.1,IF(ISNUMBER(SEARCH("JPY",E37)),0.01,0.0001)))</f>
        <v/>
      </c>
      <c r="Z37" s="18">
        <f>IF($C37="","",IF(F37="Sell",-1,1))</f>
        <v/>
      </c>
      <c r="AA37" s="18">
        <f>IF($C37="","",IF(E37="XAUUSD",100,100000))</f>
        <v/>
      </c>
      <c r="AB37" s="26">
        <f>IF(OR(K37="",L37=""),"",ABS(K37-L37)/Y37)</f>
        <v/>
      </c>
      <c r="AC37" s="26">
        <f>IF(OR(K37="",M37=""),"",ABS(M37-K37)/Y37)</f>
        <v/>
      </c>
      <c r="AD37" s="26">
        <f>IF(OR(K37="",O37=""),"",(O37-K37)*Z37/Y37)</f>
        <v/>
      </c>
      <c r="AE37" s="27">
        <f>IF(OR(AB37="",AB37=0,AC37=""),"",AC37/AB37)</f>
        <v/>
      </c>
      <c r="AF37" s="27">
        <f>IF(OR(AB37="",AB37=0,AD37=""),"",AD37/AB37)</f>
        <v/>
      </c>
      <c r="AG37" s="27">
        <f>IF(OR(C37="",P37=""),"",((P37+IF(Q37="",0,Q37))-(C37+IF(D37="",0,D37)))*24)</f>
        <v/>
      </c>
      <c r="AH37" s="18">
        <f>IF(AG37="","",INT(AG37/24)&amp;"d "&amp;INT(MOD(AG37,24))&amp;"h "&amp;INT(MOD(AG37*60,60))&amp;"m")</f>
        <v/>
      </c>
      <c r="AI37" s="28">
        <f>IF(OR(O37="",K37="",H37=""),"",IF(OR(E37="XAUUSD",RIGHT(E37,3)="USD"),(O37-K37)*Z37*AA37*H37,IF(LEFT(E37,3)="USD",IF(O37=0,"",(O37-K37)*Z37*AA37*H37/O37),AD37*10*H37)))</f>
        <v/>
      </c>
      <c r="AJ37" s="28">
        <f>IF(O37="","",IF(S37="",IF(AI37="",0,AI37),S37)-IF(R37="",0,R37))</f>
        <v/>
      </c>
      <c r="AK37" s="18">
        <f>IF(C37="","",IF(OR(O37="",P37=""),"Open",IF(ABS(AJ37)&lt;=BEThreshold,"BE",IF(AJ37&gt;0,"Win","Loss"))))</f>
        <v/>
      </c>
      <c r="AL37" s="28">
        <f>IF(OR(C37="",AK37="Open"),"",InitialCapital+SUMIFS($AJ$2:AJ37,$AK$2:AK37,"&lt;&gt;Open"))</f>
        <v/>
      </c>
      <c r="AM37" s="18">
        <f>IF(OR(C37="",AK37=""),"",IF(AK37="Open","No","Yes"))</f>
        <v/>
      </c>
    </row>
    <row r="38" ht="18" customHeight="1">
      <c r="A38" s="18">
        <f>IF(C38="","",COUNTA($C$2:C38))</f>
        <v/>
      </c>
      <c r="B38" s="18">
        <f>IF(C38="","",TEXT(C38,"dddd"))</f>
        <v/>
      </c>
      <c r="C38" s="19" t="n"/>
      <c r="D38" s="20" t="n"/>
      <c r="E38" s="21" t="n"/>
      <c r="F38" s="21" t="n"/>
      <c r="G38" s="21" t="n"/>
      <c r="H38" s="22" t="n"/>
      <c r="I38" s="23" t="n"/>
      <c r="J38" s="22" t="n"/>
      <c r="K38" s="24" t="n"/>
      <c r="L38" s="24" t="n"/>
      <c r="M38" s="24" t="n"/>
      <c r="N38" s="21" t="n"/>
      <c r="O38" s="24" t="n"/>
      <c r="P38" s="19" t="n"/>
      <c r="Q38" s="20" t="n"/>
      <c r="R38" s="23" t="n"/>
      <c r="S38" s="23" t="n"/>
      <c r="T38" s="21" t="n"/>
      <c r="U38" s="21" t="n"/>
      <c r="V38" s="21" t="n"/>
      <c r="W38" s="21" t="n"/>
      <c r="X38" s="21" t="n"/>
      <c r="Y38" s="25">
        <f>IF($C38="","",IF(E38="XAUUSD",0.1,IF(ISNUMBER(SEARCH("JPY",E38)),0.01,0.0001)))</f>
        <v/>
      </c>
      <c r="Z38" s="18">
        <f>IF($C38="","",IF(F38="Sell",-1,1))</f>
        <v/>
      </c>
      <c r="AA38" s="18">
        <f>IF($C38="","",IF(E38="XAUUSD",100,100000))</f>
        <v/>
      </c>
      <c r="AB38" s="26">
        <f>IF(OR(K38="",L38=""),"",ABS(K38-L38)/Y38)</f>
        <v/>
      </c>
      <c r="AC38" s="26">
        <f>IF(OR(K38="",M38=""),"",ABS(M38-K38)/Y38)</f>
        <v/>
      </c>
      <c r="AD38" s="26">
        <f>IF(OR(K38="",O38=""),"",(O38-K38)*Z38/Y38)</f>
        <v/>
      </c>
      <c r="AE38" s="27">
        <f>IF(OR(AB38="",AB38=0,AC38=""),"",AC38/AB38)</f>
        <v/>
      </c>
      <c r="AF38" s="27">
        <f>IF(OR(AB38="",AB38=0,AD38=""),"",AD38/AB38)</f>
        <v/>
      </c>
      <c r="AG38" s="27">
        <f>IF(OR(C38="",P38=""),"",((P38+IF(Q38="",0,Q38))-(C38+IF(D38="",0,D38)))*24)</f>
        <v/>
      </c>
      <c r="AH38" s="18">
        <f>IF(AG38="","",INT(AG38/24)&amp;"d "&amp;INT(MOD(AG38,24))&amp;"h "&amp;INT(MOD(AG38*60,60))&amp;"m")</f>
        <v/>
      </c>
      <c r="AI38" s="28">
        <f>IF(OR(O38="",K38="",H38=""),"",IF(OR(E38="XAUUSD",RIGHT(E38,3)="USD"),(O38-K38)*Z38*AA38*H38,IF(LEFT(E38,3)="USD",IF(O38=0,"",(O38-K38)*Z38*AA38*H38/O38),AD38*10*H38)))</f>
        <v/>
      </c>
      <c r="AJ38" s="28">
        <f>IF(O38="","",IF(S38="",IF(AI38="",0,AI38),S38)-IF(R38="",0,R38))</f>
        <v/>
      </c>
      <c r="AK38" s="18">
        <f>IF(C38="","",IF(OR(O38="",P38=""),"Open",IF(ABS(AJ38)&lt;=BEThreshold,"BE",IF(AJ38&gt;0,"Win","Loss"))))</f>
        <v/>
      </c>
      <c r="AL38" s="28">
        <f>IF(OR(C38="",AK38="Open"),"",InitialCapital+SUMIFS($AJ$2:AJ38,$AK$2:AK38,"&lt;&gt;Open"))</f>
        <v/>
      </c>
      <c r="AM38" s="18">
        <f>IF(OR(C38="",AK38=""),"",IF(AK38="Open","No","Yes"))</f>
        <v/>
      </c>
    </row>
    <row r="39" ht="18" customHeight="1">
      <c r="A39" s="18">
        <f>IF(C39="","",COUNTA($C$2:C39))</f>
        <v/>
      </c>
      <c r="B39" s="18">
        <f>IF(C39="","",TEXT(C39,"dddd"))</f>
        <v/>
      </c>
      <c r="C39" s="19" t="n"/>
      <c r="D39" s="20" t="n"/>
      <c r="E39" s="21" t="n"/>
      <c r="F39" s="21" t="n"/>
      <c r="G39" s="21" t="n"/>
      <c r="H39" s="22" t="n"/>
      <c r="I39" s="23" t="n"/>
      <c r="J39" s="22" t="n"/>
      <c r="K39" s="24" t="n"/>
      <c r="L39" s="24" t="n"/>
      <c r="M39" s="24" t="n"/>
      <c r="N39" s="21" t="n"/>
      <c r="O39" s="24" t="n"/>
      <c r="P39" s="19" t="n"/>
      <c r="Q39" s="20" t="n"/>
      <c r="R39" s="23" t="n"/>
      <c r="S39" s="23" t="n"/>
      <c r="T39" s="21" t="n"/>
      <c r="U39" s="21" t="n"/>
      <c r="V39" s="21" t="n"/>
      <c r="W39" s="21" t="n"/>
      <c r="X39" s="21" t="n"/>
      <c r="Y39" s="25">
        <f>IF($C39="","",IF(E39="XAUUSD",0.1,IF(ISNUMBER(SEARCH("JPY",E39)),0.01,0.0001)))</f>
        <v/>
      </c>
      <c r="Z39" s="18">
        <f>IF($C39="","",IF(F39="Sell",-1,1))</f>
        <v/>
      </c>
      <c r="AA39" s="18">
        <f>IF($C39="","",IF(E39="XAUUSD",100,100000))</f>
        <v/>
      </c>
      <c r="AB39" s="26">
        <f>IF(OR(K39="",L39=""),"",ABS(K39-L39)/Y39)</f>
        <v/>
      </c>
      <c r="AC39" s="26">
        <f>IF(OR(K39="",M39=""),"",ABS(M39-K39)/Y39)</f>
        <v/>
      </c>
      <c r="AD39" s="26">
        <f>IF(OR(K39="",O39=""),"",(O39-K39)*Z39/Y39)</f>
        <v/>
      </c>
      <c r="AE39" s="27">
        <f>IF(OR(AB39="",AB39=0,AC39=""),"",AC39/AB39)</f>
        <v/>
      </c>
      <c r="AF39" s="27">
        <f>IF(OR(AB39="",AB39=0,AD39=""),"",AD39/AB39)</f>
        <v/>
      </c>
      <c r="AG39" s="27">
        <f>IF(OR(C39="",P39=""),"",((P39+IF(Q39="",0,Q39))-(C39+IF(D39="",0,D39)))*24)</f>
        <v/>
      </c>
      <c r="AH39" s="18">
        <f>IF(AG39="","",INT(AG39/24)&amp;"d "&amp;INT(MOD(AG39,24))&amp;"h "&amp;INT(MOD(AG39*60,60))&amp;"m")</f>
        <v/>
      </c>
      <c r="AI39" s="28">
        <f>IF(OR(O39="",K39="",H39=""),"",IF(OR(E39="XAUUSD",RIGHT(E39,3)="USD"),(O39-K39)*Z39*AA39*H39,IF(LEFT(E39,3)="USD",IF(O39=0,"",(O39-K39)*Z39*AA39*H39/O39),AD39*10*H39)))</f>
        <v/>
      </c>
      <c r="AJ39" s="28">
        <f>IF(O39="","",IF(S39="",IF(AI39="",0,AI39),S39)-IF(R39="",0,R39))</f>
        <v/>
      </c>
      <c r="AK39" s="18">
        <f>IF(C39="","",IF(OR(O39="",P39=""),"Open",IF(ABS(AJ39)&lt;=BEThreshold,"BE",IF(AJ39&gt;0,"Win","Loss"))))</f>
        <v/>
      </c>
      <c r="AL39" s="28">
        <f>IF(OR(C39="",AK39="Open"),"",InitialCapital+SUMIFS($AJ$2:AJ39,$AK$2:AK39,"&lt;&gt;Open"))</f>
        <v/>
      </c>
      <c r="AM39" s="18">
        <f>IF(OR(C39="",AK39=""),"",IF(AK39="Open","No","Yes"))</f>
        <v/>
      </c>
    </row>
    <row r="40" ht="18" customHeight="1">
      <c r="A40" s="18">
        <f>IF(C40="","",COUNTA($C$2:C40))</f>
        <v/>
      </c>
      <c r="B40" s="18">
        <f>IF(C40="","",TEXT(C40,"dddd"))</f>
        <v/>
      </c>
      <c r="C40" s="19" t="n"/>
      <c r="D40" s="20" t="n"/>
      <c r="E40" s="21" t="n"/>
      <c r="F40" s="21" t="n"/>
      <c r="G40" s="21" t="n"/>
      <c r="H40" s="22" t="n"/>
      <c r="I40" s="23" t="n"/>
      <c r="J40" s="22" t="n"/>
      <c r="K40" s="24" t="n"/>
      <c r="L40" s="24" t="n"/>
      <c r="M40" s="24" t="n"/>
      <c r="N40" s="21" t="n"/>
      <c r="O40" s="24" t="n"/>
      <c r="P40" s="19" t="n"/>
      <c r="Q40" s="20" t="n"/>
      <c r="R40" s="23" t="n"/>
      <c r="S40" s="23" t="n"/>
      <c r="T40" s="21" t="n"/>
      <c r="U40" s="21" t="n"/>
      <c r="V40" s="21" t="n"/>
      <c r="W40" s="21" t="n"/>
      <c r="X40" s="21" t="n"/>
      <c r="Y40" s="25">
        <f>IF($C40="","",IF(E40="XAUUSD",0.1,IF(ISNUMBER(SEARCH("JPY",E40)),0.01,0.0001)))</f>
        <v/>
      </c>
      <c r="Z40" s="18">
        <f>IF($C40="","",IF(F40="Sell",-1,1))</f>
        <v/>
      </c>
      <c r="AA40" s="18">
        <f>IF($C40="","",IF(E40="XAUUSD",100,100000))</f>
        <v/>
      </c>
      <c r="AB40" s="26">
        <f>IF(OR(K40="",L40=""),"",ABS(K40-L40)/Y40)</f>
        <v/>
      </c>
      <c r="AC40" s="26">
        <f>IF(OR(K40="",M40=""),"",ABS(M40-K40)/Y40)</f>
        <v/>
      </c>
      <c r="AD40" s="26">
        <f>IF(OR(K40="",O40=""),"",(O40-K40)*Z40/Y40)</f>
        <v/>
      </c>
      <c r="AE40" s="27">
        <f>IF(OR(AB40="",AB40=0,AC40=""),"",AC40/AB40)</f>
        <v/>
      </c>
      <c r="AF40" s="27">
        <f>IF(OR(AB40="",AB40=0,AD40=""),"",AD40/AB40)</f>
        <v/>
      </c>
      <c r="AG40" s="27">
        <f>IF(OR(C40="",P40=""),"",((P40+IF(Q40="",0,Q40))-(C40+IF(D40="",0,D40)))*24)</f>
        <v/>
      </c>
      <c r="AH40" s="18">
        <f>IF(AG40="","",INT(AG40/24)&amp;"d "&amp;INT(MOD(AG40,24))&amp;"h "&amp;INT(MOD(AG40*60,60))&amp;"m")</f>
        <v/>
      </c>
      <c r="AI40" s="28">
        <f>IF(OR(O40="",K40="",H40=""),"",IF(OR(E40="XAUUSD",RIGHT(E40,3)="USD"),(O40-K40)*Z40*AA40*H40,IF(LEFT(E40,3)="USD",IF(O40=0,"",(O40-K40)*Z40*AA40*H40/O40),AD40*10*H40)))</f>
        <v/>
      </c>
      <c r="AJ40" s="28">
        <f>IF(O40="","",IF(S40="",IF(AI40="",0,AI40),S40)-IF(R40="",0,R40))</f>
        <v/>
      </c>
      <c r="AK40" s="18">
        <f>IF(C40="","",IF(OR(O40="",P40=""),"Open",IF(ABS(AJ40)&lt;=BEThreshold,"BE",IF(AJ40&gt;0,"Win","Loss"))))</f>
        <v/>
      </c>
      <c r="AL40" s="28">
        <f>IF(OR(C40="",AK40="Open"),"",InitialCapital+SUMIFS($AJ$2:AJ40,$AK$2:AK40,"&lt;&gt;Open"))</f>
        <v/>
      </c>
      <c r="AM40" s="18">
        <f>IF(OR(C40="",AK40=""),"",IF(AK40="Open","No","Yes"))</f>
        <v/>
      </c>
    </row>
    <row r="41" ht="18" customHeight="1">
      <c r="A41" s="18">
        <f>IF(C41="","",COUNTA($C$2:C41))</f>
        <v/>
      </c>
      <c r="B41" s="18">
        <f>IF(C41="","",TEXT(C41,"dddd"))</f>
        <v/>
      </c>
      <c r="C41" s="19" t="n"/>
      <c r="D41" s="20" t="n"/>
      <c r="E41" s="21" t="n"/>
      <c r="F41" s="21" t="n"/>
      <c r="G41" s="21" t="n"/>
      <c r="H41" s="22" t="n"/>
      <c r="I41" s="23" t="n"/>
      <c r="J41" s="22" t="n"/>
      <c r="K41" s="24" t="n"/>
      <c r="L41" s="24" t="n"/>
      <c r="M41" s="24" t="n"/>
      <c r="N41" s="21" t="n"/>
      <c r="O41" s="24" t="n"/>
      <c r="P41" s="19" t="n"/>
      <c r="Q41" s="20" t="n"/>
      <c r="R41" s="23" t="n"/>
      <c r="S41" s="23" t="n"/>
      <c r="T41" s="21" t="n"/>
      <c r="U41" s="21" t="n"/>
      <c r="V41" s="21" t="n"/>
      <c r="W41" s="21" t="n"/>
      <c r="X41" s="21" t="n"/>
      <c r="Y41" s="25">
        <f>IF($C41="","",IF(E41="XAUUSD",0.1,IF(ISNUMBER(SEARCH("JPY",E41)),0.01,0.0001)))</f>
        <v/>
      </c>
      <c r="Z41" s="18">
        <f>IF($C41="","",IF(F41="Sell",-1,1))</f>
        <v/>
      </c>
      <c r="AA41" s="18">
        <f>IF($C41="","",IF(E41="XAUUSD",100,100000))</f>
        <v/>
      </c>
      <c r="AB41" s="26">
        <f>IF(OR(K41="",L41=""),"",ABS(K41-L41)/Y41)</f>
        <v/>
      </c>
      <c r="AC41" s="26">
        <f>IF(OR(K41="",M41=""),"",ABS(M41-K41)/Y41)</f>
        <v/>
      </c>
      <c r="AD41" s="26">
        <f>IF(OR(K41="",O41=""),"",(O41-K41)*Z41/Y41)</f>
        <v/>
      </c>
      <c r="AE41" s="27">
        <f>IF(OR(AB41="",AB41=0,AC41=""),"",AC41/AB41)</f>
        <v/>
      </c>
      <c r="AF41" s="27">
        <f>IF(OR(AB41="",AB41=0,AD41=""),"",AD41/AB41)</f>
        <v/>
      </c>
      <c r="AG41" s="27">
        <f>IF(OR(C41="",P41=""),"",((P41+IF(Q41="",0,Q41))-(C41+IF(D41="",0,D41)))*24)</f>
        <v/>
      </c>
      <c r="AH41" s="18">
        <f>IF(AG41="","",INT(AG41/24)&amp;"d "&amp;INT(MOD(AG41,24))&amp;"h "&amp;INT(MOD(AG41*60,60))&amp;"m")</f>
        <v/>
      </c>
      <c r="AI41" s="28">
        <f>IF(OR(O41="",K41="",H41=""),"",IF(OR(E41="XAUUSD",RIGHT(E41,3)="USD"),(O41-K41)*Z41*AA41*H41,IF(LEFT(E41,3)="USD",IF(O41=0,"",(O41-K41)*Z41*AA41*H41/O41),AD41*10*H41)))</f>
        <v/>
      </c>
      <c r="AJ41" s="28">
        <f>IF(O41="","",IF(S41="",IF(AI41="",0,AI41),S41)-IF(R41="",0,R41))</f>
        <v/>
      </c>
      <c r="AK41" s="18">
        <f>IF(C41="","",IF(OR(O41="",P41=""),"Open",IF(ABS(AJ41)&lt;=BEThreshold,"BE",IF(AJ41&gt;0,"Win","Loss"))))</f>
        <v/>
      </c>
      <c r="AL41" s="28">
        <f>IF(OR(C41="",AK41="Open"),"",InitialCapital+SUMIFS($AJ$2:AJ41,$AK$2:AK41,"&lt;&gt;Open"))</f>
        <v/>
      </c>
      <c r="AM41" s="18">
        <f>IF(OR(C41="",AK41=""),"",IF(AK41="Open","No","Yes"))</f>
        <v/>
      </c>
    </row>
    <row r="42" ht="18" customHeight="1">
      <c r="A42" s="18">
        <f>IF(C42="","",COUNTA($C$2:C42))</f>
        <v/>
      </c>
      <c r="B42" s="18">
        <f>IF(C42="","",TEXT(C42,"dddd"))</f>
        <v/>
      </c>
      <c r="C42" s="19" t="n"/>
      <c r="D42" s="20" t="n"/>
      <c r="E42" s="21" t="n"/>
      <c r="F42" s="21" t="n"/>
      <c r="G42" s="21" t="n"/>
      <c r="H42" s="22" t="n"/>
      <c r="I42" s="23" t="n"/>
      <c r="J42" s="22" t="n"/>
      <c r="K42" s="24" t="n"/>
      <c r="L42" s="24" t="n"/>
      <c r="M42" s="24" t="n"/>
      <c r="N42" s="21" t="n"/>
      <c r="O42" s="24" t="n"/>
      <c r="P42" s="19" t="n"/>
      <c r="Q42" s="20" t="n"/>
      <c r="R42" s="23" t="n"/>
      <c r="S42" s="23" t="n"/>
      <c r="T42" s="21" t="n"/>
      <c r="U42" s="21" t="n"/>
      <c r="V42" s="21" t="n"/>
      <c r="W42" s="21" t="n"/>
      <c r="X42" s="21" t="n"/>
      <c r="Y42" s="25">
        <f>IF($C42="","",IF(E42="XAUUSD",0.1,IF(ISNUMBER(SEARCH("JPY",E42)),0.01,0.0001)))</f>
        <v/>
      </c>
      <c r="Z42" s="18">
        <f>IF($C42="","",IF(F42="Sell",-1,1))</f>
        <v/>
      </c>
      <c r="AA42" s="18">
        <f>IF($C42="","",IF(E42="XAUUSD",100,100000))</f>
        <v/>
      </c>
      <c r="AB42" s="26">
        <f>IF(OR(K42="",L42=""),"",ABS(K42-L42)/Y42)</f>
        <v/>
      </c>
      <c r="AC42" s="26">
        <f>IF(OR(K42="",M42=""),"",ABS(M42-K42)/Y42)</f>
        <v/>
      </c>
      <c r="AD42" s="26">
        <f>IF(OR(K42="",O42=""),"",(O42-K42)*Z42/Y42)</f>
        <v/>
      </c>
      <c r="AE42" s="27">
        <f>IF(OR(AB42="",AB42=0,AC42=""),"",AC42/AB42)</f>
        <v/>
      </c>
      <c r="AF42" s="27">
        <f>IF(OR(AB42="",AB42=0,AD42=""),"",AD42/AB42)</f>
        <v/>
      </c>
      <c r="AG42" s="27">
        <f>IF(OR(C42="",P42=""),"",((P42+IF(Q42="",0,Q42))-(C42+IF(D42="",0,D42)))*24)</f>
        <v/>
      </c>
      <c r="AH42" s="18">
        <f>IF(AG42="","",INT(AG42/24)&amp;"d "&amp;INT(MOD(AG42,24))&amp;"h "&amp;INT(MOD(AG42*60,60))&amp;"m")</f>
        <v/>
      </c>
      <c r="AI42" s="28">
        <f>IF(OR(O42="",K42="",H42=""),"",IF(OR(E42="XAUUSD",RIGHT(E42,3)="USD"),(O42-K42)*Z42*AA42*H42,IF(LEFT(E42,3)="USD",IF(O42=0,"",(O42-K42)*Z42*AA42*H42/O42),AD42*10*H42)))</f>
        <v/>
      </c>
      <c r="AJ42" s="28">
        <f>IF(O42="","",IF(S42="",IF(AI42="",0,AI42),S42)-IF(R42="",0,R42))</f>
        <v/>
      </c>
      <c r="AK42" s="18">
        <f>IF(C42="","",IF(OR(O42="",P42=""),"Open",IF(ABS(AJ42)&lt;=BEThreshold,"BE",IF(AJ42&gt;0,"Win","Loss"))))</f>
        <v/>
      </c>
      <c r="AL42" s="28">
        <f>IF(OR(C42="",AK42="Open"),"",InitialCapital+SUMIFS($AJ$2:AJ42,$AK$2:AK42,"&lt;&gt;Open"))</f>
        <v/>
      </c>
      <c r="AM42" s="18">
        <f>IF(OR(C42="",AK42=""),"",IF(AK42="Open","No","Yes"))</f>
        <v/>
      </c>
    </row>
    <row r="43" ht="18" customHeight="1">
      <c r="A43" s="18">
        <f>IF(C43="","",COUNTA($C$2:C43))</f>
        <v/>
      </c>
      <c r="B43" s="18">
        <f>IF(C43="","",TEXT(C43,"dddd"))</f>
        <v/>
      </c>
      <c r="C43" s="19" t="n"/>
      <c r="D43" s="20" t="n"/>
      <c r="E43" s="21" t="n"/>
      <c r="F43" s="21" t="n"/>
      <c r="G43" s="21" t="n"/>
      <c r="H43" s="22" t="n"/>
      <c r="I43" s="23" t="n"/>
      <c r="J43" s="22" t="n"/>
      <c r="K43" s="24" t="n"/>
      <c r="L43" s="24" t="n"/>
      <c r="M43" s="24" t="n"/>
      <c r="N43" s="21" t="n"/>
      <c r="O43" s="24" t="n"/>
      <c r="P43" s="19" t="n"/>
      <c r="Q43" s="20" t="n"/>
      <c r="R43" s="23" t="n"/>
      <c r="S43" s="23" t="n"/>
      <c r="T43" s="21" t="n"/>
      <c r="U43" s="21" t="n"/>
      <c r="V43" s="21" t="n"/>
      <c r="W43" s="21" t="n"/>
      <c r="X43" s="21" t="n"/>
      <c r="Y43" s="25">
        <f>IF($C43="","",IF(E43="XAUUSD",0.1,IF(ISNUMBER(SEARCH("JPY",E43)),0.01,0.0001)))</f>
        <v/>
      </c>
      <c r="Z43" s="18">
        <f>IF($C43="","",IF(F43="Sell",-1,1))</f>
        <v/>
      </c>
      <c r="AA43" s="18">
        <f>IF($C43="","",IF(E43="XAUUSD",100,100000))</f>
        <v/>
      </c>
      <c r="AB43" s="26">
        <f>IF(OR(K43="",L43=""),"",ABS(K43-L43)/Y43)</f>
        <v/>
      </c>
      <c r="AC43" s="26">
        <f>IF(OR(K43="",M43=""),"",ABS(M43-K43)/Y43)</f>
        <v/>
      </c>
      <c r="AD43" s="26">
        <f>IF(OR(K43="",O43=""),"",(O43-K43)*Z43/Y43)</f>
        <v/>
      </c>
      <c r="AE43" s="27">
        <f>IF(OR(AB43="",AB43=0,AC43=""),"",AC43/AB43)</f>
        <v/>
      </c>
      <c r="AF43" s="27">
        <f>IF(OR(AB43="",AB43=0,AD43=""),"",AD43/AB43)</f>
        <v/>
      </c>
      <c r="AG43" s="27">
        <f>IF(OR(C43="",P43=""),"",((P43+IF(Q43="",0,Q43))-(C43+IF(D43="",0,D43)))*24)</f>
        <v/>
      </c>
      <c r="AH43" s="18">
        <f>IF(AG43="","",INT(AG43/24)&amp;"d "&amp;INT(MOD(AG43,24))&amp;"h "&amp;INT(MOD(AG43*60,60))&amp;"m")</f>
        <v/>
      </c>
      <c r="AI43" s="28">
        <f>IF(OR(O43="",K43="",H43=""),"",IF(OR(E43="XAUUSD",RIGHT(E43,3)="USD"),(O43-K43)*Z43*AA43*H43,IF(LEFT(E43,3)="USD",IF(O43=0,"",(O43-K43)*Z43*AA43*H43/O43),AD43*10*H43)))</f>
        <v/>
      </c>
      <c r="AJ43" s="28">
        <f>IF(O43="","",IF(S43="",IF(AI43="",0,AI43),S43)-IF(R43="",0,R43))</f>
        <v/>
      </c>
      <c r="AK43" s="18">
        <f>IF(C43="","",IF(OR(O43="",P43=""),"Open",IF(ABS(AJ43)&lt;=BEThreshold,"BE",IF(AJ43&gt;0,"Win","Loss"))))</f>
        <v/>
      </c>
      <c r="AL43" s="28">
        <f>IF(OR(C43="",AK43="Open"),"",InitialCapital+SUMIFS($AJ$2:AJ43,$AK$2:AK43,"&lt;&gt;Open"))</f>
        <v/>
      </c>
      <c r="AM43" s="18">
        <f>IF(OR(C43="",AK43=""),"",IF(AK43="Open","No","Yes"))</f>
        <v/>
      </c>
    </row>
    <row r="44" ht="18" customHeight="1">
      <c r="A44" s="18">
        <f>IF(C44="","",COUNTA($C$2:C44))</f>
        <v/>
      </c>
      <c r="B44" s="18">
        <f>IF(C44="","",TEXT(C44,"dddd"))</f>
        <v/>
      </c>
      <c r="C44" s="19" t="n"/>
      <c r="D44" s="20" t="n"/>
      <c r="E44" s="21" t="n"/>
      <c r="F44" s="21" t="n"/>
      <c r="G44" s="21" t="n"/>
      <c r="H44" s="22" t="n"/>
      <c r="I44" s="23" t="n"/>
      <c r="J44" s="22" t="n"/>
      <c r="K44" s="24" t="n"/>
      <c r="L44" s="24" t="n"/>
      <c r="M44" s="24" t="n"/>
      <c r="N44" s="21" t="n"/>
      <c r="O44" s="24" t="n"/>
      <c r="P44" s="19" t="n"/>
      <c r="Q44" s="20" t="n"/>
      <c r="R44" s="23" t="n"/>
      <c r="S44" s="23" t="n"/>
      <c r="T44" s="21" t="n"/>
      <c r="U44" s="21" t="n"/>
      <c r="V44" s="21" t="n"/>
      <c r="W44" s="21" t="n"/>
      <c r="X44" s="21" t="n"/>
      <c r="Y44" s="25">
        <f>IF($C44="","",IF(E44="XAUUSD",0.1,IF(ISNUMBER(SEARCH("JPY",E44)),0.01,0.0001)))</f>
        <v/>
      </c>
      <c r="Z44" s="18">
        <f>IF($C44="","",IF(F44="Sell",-1,1))</f>
        <v/>
      </c>
      <c r="AA44" s="18">
        <f>IF($C44="","",IF(E44="XAUUSD",100,100000))</f>
        <v/>
      </c>
      <c r="AB44" s="26">
        <f>IF(OR(K44="",L44=""),"",ABS(K44-L44)/Y44)</f>
        <v/>
      </c>
      <c r="AC44" s="26">
        <f>IF(OR(K44="",M44=""),"",ABS(M44-K44)/Y44)</f>
        <v/>
      </c>
      <c r="AD44" s="26">
        <f>IF(OR(K44="",O44=""),"",(O44-K44)*Z44/Y44)</f>
        <v/>
      </c>
      <c r="AE44" s="27">
        <f>IF(OR(AB44="",AB44=0,AC44=""),"",AC44/AB44)</f>
        <v/>
      </c>
      <c r="AF44" s="27">
        <f>IF(OR(AB44="",AB44=0,AD44=""),"",AD44/AB44)</f>
        <v/>
      </c>
      <c r="AG44" s="27">
        <f>IF(OR(C44="",P44=""),"",((P44+IF(Q44="",0,Q44))-(C44+IF(D44="",0,D44)))*24)</f>
        <v/>
      </c>
      <c r="AH44" s="18">
        <f>IF(AG44="","",INT(AG44/24)&amp;"d "&amp;INT(MOD(AG44,24))&amp;"h "&amp;INT(MOD(AG44*60,60))&amp;"m")</f>
        <v/>
      </c>
      <c r="AI44" s="28">
        <f>IF(OR(O44="",K44="",H44=""),"",IF(OR(E44="XAUUSD",RIGHT(E44,3)="USD"),(O44-K44)*Z44*AA44*H44,IF(LEFT(E44,3)="USD",IF(O44=0,"",(O44-K44)*Z44*AA44*H44/O44),AD44*10*H44)))</f>
        <v/>
      </c>
      <c r="AJ44" s="28">
        <f>IF(O44="","",IF(S44="",IF(AI44="",0,AI44),S44)-IF(R44="",0,R44))</f>
        <v/>
      </c>
      <c r="AK44" s="18">
        <f>IF(C44="","",IF(OR(O44="",P44=""),"Open",IF(ABS(AJ44)&lt;=BEThreshold,"BE",IF(AJ44&gt;0,"Win","Loss"))))</f>
        <v/>
      </c>
      <c r="AL44" s="28">
        <f>IF(OR(C44="",AK44="Open"),"",InitialCapital+SUMIFS($AJ$2:AJ44,$AK$2:AK44,"&lt;&gt;Open"))</f>
        <v/>
      </c>
      <c r="AM44" s="18">
        <f>IF(OR(C44="",AK44=""),"",IF(AK44="Open","No","Yes"))</f>
        <v/>
      </c>
    </row>
    <row r="45" ht="18" customHeight="1">
      <c r="A45" s="18">
        <f>IF(C45="","",COUNTA($C$2:C45))</f>
        <v/>
      </c>
      <c r="B45" s="18">
        <f>IF(C45="","",TEXT(C45,"dddd"))</f>
        <v/>
      </c>
      <c r="C45" s="19" t="n"/>
      <c r="D45" s="20" t="n"/>
      <c r="E45" s="21" t="n"/>
      <c r="F45" s="21" t="n"/>
      <c r="G45" s="21" t="n"/>
      <c r="H45" s="22" t="n"/>
      <c r="I45" s="23" t="n"/>
      <c r="J45" s="22" t="n"/>
      <c r="K45" s="24" t="n"/>
      <c r="L45" s="24" t="n"/>
      <c r="M45" s="24" t="n"/>
      <c r="N45" s="21" t="n"/>
      <c r="O45" s="24" t="n"/>
      <c r="P45" s="19" t="n"/>
      <c r="Q45" s="20" t="n"/>
      <c r="R45" s="23" t="n"/>
      <c r="S45" s="23" t="n"/>
      <c r="T45" s="21" t="n"/>
      <c r="U45" s="21" t="n"/>
      <c r="V45" s="21" t="n"/>
      <c r="W45" s="21" t="n"/>
      <c r="X45" s="21" t="n"/>
      <c r="Y45" s="25">
        <f>IF($C45="","",IF(E45="XAUUSD",0.1,IF(ISNUMBER(SEARCH("JPY",E45)),0.01,0.0001)))</f>
        <v/>
      </c>
      <c r="Z45" s="18">
        <f>IF($C45="","",IF(F45="Sell",-1,1))</f>
        <v/>
      </c>
      <c r="AA45" s="18">
        <f>IF($C45="","",IF(E45="XAUUSD",100,100000))</f>
        <v/>
      </c>
      <c r="AB45" s="26">
        <f>IF(OR(K45="",L45=""),"",ABS(K45-L45)/Y45)</f>
        <v/>
      </c>
      <c r="AC45" s="26">
        <f>IF(OR(K45="",M45=""),"",ABS(M45-K45)/Y45)</f>
        <v/>
      </c>
      <c r="AD45" s="26">
        <f>IF(OR(K45="",O45=""),"",(O45-K45)*Z45/Y45)</f>
        <v/>
      </c>
      <c r="AE45" s="27">
        <f>IF(OR(AB45="",AB45=0,AC45=""),"",AC45/AB45)</f>
        <v/>
      </c>
      <c r="AF45" s="27">
        <f>IF(OR(AB45="",AB45=0,AD45=""),"",AD45/AB45)</f>
        <v/>
      </c>
      <c r="AG45" s="27">
        <f>IF(OR(C45="",P45=""),"",((P45+IF(Q45="",0,Q45))-(C45+IF(D45="",0,D45)))*24)</f>
        <v/>
      </c>
      <c r="AH45" s="18">
        <f>IF(AG45="","",INT(AG45/24)&amp;"d "&amp;INT(MOD(AG45,24))&amp;"h "&amp;INT(MOD(AG45*60,60))&amp;"m")</f>
        <v/>
      </c>
      <c r="AI45" s="28">
        <f>IF(OR(O45="",K45="",H45=""),"",IF(OR(E45="XAUUSD",RIGHT(E45,3)="USD"),(O45-K45)*Z45*AA45*H45,IF(LEFT(E45,3)="USD",IF(O45=0,"",(O45-K45)*Z45*AA45*H45/O45),AD45*10*H45)))</f>
        <v/>
      </c>
      <c r="AJ45" s="28">
        <f>IF(O45="","",IF(S45="",IF(AI45="",0,AI45),S45)-IF(R45="",0,R45))</f>
        <v/>
      </c>
      <c r="AK45" s="18">
        <f>IF(C45="","",IF(OR(O45="",P45=""),"Open",IF(ABS(AJ45)&lt;=BEThreshold,"BE",IF(AJ45&gt;0,"Win","Loss"))))</f>
        <v/>
      </c>
      <c r="AL45" s="28">
        <f>IF(OR(C45="",AK45="Open"),"",InitialCapital+SUMIFS($AJ$2:AJ45,$AK$2:AK45,"&lt;&gt;Open"))</f>
        <v/>
      </c>
      <c r="AM45" s="18">
        <f>IF(OR(C45="",AK45=""),"",IF(AK45="Open","No","Yes"))</f>
        <v/>
      </c>
    </row>
    <row r="46" ht="18" customHeight="1">
      <c r="A46" s="18">
        <f>IF(C46="","",COUNTA($C$2:C46))</f>
        <v/>
      </c>
      <c r="B46" s="18">
        <f>IF(C46="","",TEXT(C46,"dddd"))</f>
        <v/>
      </c>
      <c r="C46" s="19" t="n"/>
      <c r="D46" s="20" t="n"/>
      <c r="E46" s="21" t="n"/>
      <c r="F46" s="21" t="n"/>
      <c r="G46" s="21" t="n"/>
      <c r="H46" s="22" t="n"/>
      <c r="I46" s="23" t="n"/>
      <c r="J46" s="22" t="n"/>
      <c r="K46" s="24" t="n"/>
      <c r="L46" s="24" t="n"/>
      <c r="M46" s="24" t="n"/>
      <c r="N46" s="21" t="n"/>
      <c r="O46" s="24" t="n"/>
      <c r="P46" s="19" t="n"/>
      <c r="Q46" s="20" t="n"/>
      <c r="R46" s="23" t="n"/>
      <c r="S46" s="23" t="n"/>
      <c r="T46" s="21" t="n"/>
      <c r="U46" s="21" t="n"/>
      <c r="V46" s="21" t="n"/>
      <c r="W46" s="21" t="n"/>
      <c r="X46" s="21" t="n"/>
      <c r="Y46" s="25">
        <f>IF($C46="","",IF(E46="XAUUSD",0.1,IF(ISNUMBER(SEARCH("JPY",E46)),0.01,0.0001)))</f>
        <v/>
      </c>
      <c r="Z46" s="18">
        <f>IF($C46="","",IF(F46="Sell",-1,1))</f>
        <v/>
      </c>
      <c r="AA46" s="18">
        <f>IF($C46="","",IF(E46="XAUUSD",100,100000))</f>
        <v/>
      </c>
      <c r="AB46" s="26">
        <f>IF(OR(K46="",L46=""),"",ABS(K46-L46)/Y46)</f>
        <v/>
      </c>
      <c r="AC46" s="26">
        <f>IF(OR(K46="",M46=""),"",ABS(M46-K46)/Y46)</f>
        <v/>
      </c>
      <c r="AD46" s="26">
        <f>IF(OR(K46="",O46=""),"",(O46-K46)*Z46/Y46)</f>
        <v/>
      </c>
      <c r="AE46" s="27">
        <f>IF(OR(AB46="",AB46=0,AC46=""),"",AC46/AB46)</f>
        <v/>
      </c>
      <c r="AF46" s="27">
        <f>IF(OR(AB46="",AB46=0,AD46=""),"",AD46/AB46)</f>
        <v/>
      </c>
      <c r="AG46" s="27">
        <f>IF(OR(C46="",P46=""),"",((P46+IF(Q46="",0,Q46))-(C46+IF(D46="",0,D46)))*24)</f>
        <v/>
      </c>
      <c r="AH46" s="18">
        <f>IF(AG46="","",INT(AG46/24)&amp;"d "&amp;INT(MOD(AG46,24))&amp;"h "&amp;INT(MOD(AG46*60,60))&amp;"m")</f>
        <v/>
      </c>
      <c r="AI46" s="28">
        <f>IF(OR(O46="",K46="",H46=""),"",IF(OR(E46="XAUUSD",RIGHT(E46,3)="USD"),(O46-K46)*Z46*AA46*H46,IF(LEFT(E46,3)="USD",IF(O46=0,"",(O46-K46)*Z46*AA46*H46/O46),AD46*10*H46)))</f>
        <v/>
      </c>
      <c r="AJ46" s="28">
        <f>IF(O46="","",IF(S46="",IF(AI46="",0,AI46),S46)-IF(R46="",0,R46))</f>
        <v/>
      </c>
      <c r="AK46" s="18">
        <f>IF(C46="","",IF(OR(O46="",P46=""),"Open",IF(ABS(AJ46)&lt;=BEThreshold,"BE",IF(AJ46&gt;0,"Win","Loss"))))</f>
        <v/>
      </c>
      <c r="AL46" s="28">
        <f>IF(OR(C46="",AK46="Open"),"",InitialCapital+SUMIFS($AJ$2:AJ46,$AK$2:AK46,"&lt;&gt;Open"))</f>
        <v/>
      </c>
      <c r="AM46" s="18">
        <f>IF(OR(C46="",AK46=""),"",IF(AK46="Open","No","Yes"))</f>
        <v/>
      </c>
    </row>
    <row r="47" ht="18" customHeight="1">
      <c r="A47" s="18">
        <f>IF(C47="","",COUNTA($C$2:C47))</f>
        <v/>
      </c>
      <c r="B47" s="18">
        <f>IF(C47="","",TEXT(C47,"dddd"))</f>
        <v/>
      </c>
      <c r="C47" s="19" t="n"/>
      <c r="D47" s="20" t="n"/>
      <c r="E47" s="21" t="n"/>
      <c r="F47" s="21" t="n"/>
      <c r="G47" s="21" t="n"/>
      <c r="H47" s="22" t="n"/>
      <c r="I47" s="23" t="n"/>
      <c r="J47" s="22" t="n"/>
      <c r="K47" s="24" t="n"/>
      <c r="L47" s="24" t="n"/>
      <c r="M47" s="24" t="n"/>
      <c r="N47" s="21" t="n"/>
      <c r="O47" s="24" t="n"/>
      <c r="P47" s="19" t="n"/>
      <c r="Q47" s="20" t="n"/>
      <c r="R47" s="23" t="n"/>
      <c r="S47" s="23" t="n"/>
      <c r="T47" s="21" t="n"/>
      <c r="U47" s="21" t="n"/>
      <c r="V47" s="21" t="n"/>
      <c r="W47" s="21" t="n"/>
      <c r="X47" s="21" t="n"/>
      <c r="Y47" s="25">
        <f>IF($C47="","",IF(E47="XAUUSD",0.1,IF(ISNUMBER(SEARCH("JPY",E47)),0.01,0.0001)))</f>
        <v/>
      </c>
      <c r="Z47" s="18">
        <f>IF($C47="","",IF(F47="Sell",-1,1))</f>
        <v/>
      </c>
      <c r="AA47" s="18">
        <f>IF($C47="","",IF(E47="XAUUSD",100,100000))</f>
        <v/>
      </c>
      <c r="AB47" s="26">
        <f>IF(OR(K47="",L47=""),"",ABS(K47-L47)/Y47)</f>
        <v/>
      </c>
      <c r="AC47" s="26">
        <f>IF(OR(K47="",M47=""),"",ABS(M47-K47)/Y47)</f>
        <v/>
      </c>
      <c r="AD47" s="26">
        <f>IF(OR(K47="",O47=""),"",(O47-K47)*Z47/Y47)</f>
        <v/>
      </c>
      <c r="AE47" s="27">
        <f>IF(OR(AB47="",AB47=0,AC47=""),"",AC47/AB47)</f>
        <v/>
      </c>
      <c r="AF47" s="27">
        <f>IF(OR(AB47="",AB47=0,AD47=""),"",AD47/AB47)</f>
        <v/>
      </c>
      <c r="AG47" s="27">
        <f>IF(OR(C47="",P47=""),"",((P47+IF(Q47="",0,Q47))-(C47+IF(D47="",0,D47)))*24)</f>
        <v/>
      </c>
      <c r="AH47" s="18">
        <f>IF(AG47="","",INT(AG47/24)&amp;"d "&amp;INT(MOD(AG47,24))&amp;"h "&amp;INT(MOD(AG47*60,60))&amp;"m")</f>
        <v/>
      </c>
      <c r="AI47" s="28">
        <f>IF(OR(O47="",K47="",H47=""),"",IF(OR(E47="XAUUSD",RIGHT(E47,3)="USD"),(O47-K47)*Z47*AA47*H47,IF(LEFT(E47,3)="USD",IF(O47=0,"",(O47-K47)*Z47*AA47*H47/O47),AD47*10*H47)))</f>
        <v/>
      </c>
      <c r="AJ47" s="28">
        <f>IF(O47="","",IF(S47="",IF(AI47="",0,AI47),S47)-IF(R47="",0,R47))</f>
        <v/>
      </c>
      <c r="AK47" s="18">
        <f>IF(C47="","",IF(OR(O47="",P47=""),"Open",IF(ABS(AJ47)&lt;=BEThreshold,"BE",IF(AJ47&gt;0,"Win","Loss"))))</f>
        <v/>
      </c>
      <c r="AL47" s="28">
        <f>IF(OR(C47="",AK47="Open"),"",InitialCapital+SUMIFS($AJ$2:AJ47,$AK$2:AK47,"&lt;&gt;Open"))</f>
        <v/>
      </c>
      <c r="AM47" s="18">
        <f>IF(OR(C47="",AK47=""),"",IF(AK47="Open","No","Yes"))</f>
        <v/>
      </c>
    </row>
    <row r="48" ht="18" customHeight="1">
      <c r="A48" s="18">
        <f>IF(C48="","",COUNTA($C$2:C48))</f>
        <v/>
      </c>
      <c r="B48" s="18">
        <f>IF(C48="","",TEXT(C48,"dddd"))</f>
        <v/>
      </c>
      <c r="C48" s="19" t="n"/>
      <c r="D48" s="20" t="n"/>
      <c r="E48" s="21" t="n"/>
      <c r="F48" s="21" t="n"/>
      <c r="G48" s="21" t="n"/>
      <c r="H48" s="22" t="n"/>
      <c r="I48" s="23" t="n"/>
      <c r="J48" s="22" t="n"/>
      <c r="K48" s="24" t="n"/>
      <c r="L48" s="24" t="n"/>
      <c r="M48" s="24" t="n"/>
      <c r="N48" s="21" t="n"/>
      <c r="O48" s="24" t="n"/>
      <c r="P48" s="19" t="n"/>
      <c r="Q48" s="20" t="n"/>
      <c r="R48" s="23" t="n"/>
      <c r="S48" s="23" t="n"/>
      <c r="T48" s="21" t="n"/>
      <c r="U48" s="21" t="n"/>
      <c r="V48" s="21" t="n"/>
      <c r="W48" s="21" t="n"/>
      <c r="X48" s="21" t="n"/>
      <c r="Y48" s="25">
        <f>IF($C48="","",IF(E48="XAUUSD",0.1,IF(ISNUMBER(SEARCH("JPY",E48)),0.01,0.0001)))</f>
        <v/>
      </c>
      <c r="Z48" s="18">
        <f>IF($C48="","",IF(F48="Sell",-1,1))</f>
        <v/>
      </c>
      <c r="AA48" s="18">
        <f>IF($C48="","",IF(E48="XAUUSD",100,100000))</f>
        <v/>
      </c>
      <c r="AB48" s="26">
        <f>IF(OR(K48="",L48=""),"",ABS(K48-L48)/Y48)</f>
        <v/>
      </c>
      <c r="AC48" s="26">
        <f>IF(OR(K48="",M48=""),"",ABS(M48-K48)/Y48)</f>
        <v/>
      </c>
      <c r="AD48" s="26">
        <f>IF(OR(K48="",O48=""),"",(O48-K48)*Z48/Y48)</f>
        <v/>
      </c>
      <c r="AE48" s="27">
        <f>IF(OR(AB48="",AB48=0,AC48=""),"",AC48/AB48)</f>
        <v/>
      </c>
      <c r="AF48" s="27">
        <f>IF(OR(AB48="",AB48=0,AD48=""),"",AD48/AB48)</f>
        <v/>
      </c>
      <c r="AG48" s="27">
        <f>IF(OR(C48="",P48=""),"",((P48+IF(Q48="",0,Q48))-(C48+IF(D48="",0,D48)))*24)</f>
        <v/>
      </c>
      <c r="AH48" s="18">
        <f>IF(AG48="","",INT(AG48/24)&amp;"d "&amp;INT(MOD(AG48,24))&amp;"h "&amp;INT(MOD(AG48*60,60))&amp;"m")</f>
        <v/>
      </c>
      <c r="AI48" s="28">
        <f>IF(OR(O48="",K48="",H48=""),"",IF(OR(E48="XAUUSD",RIGHT(E48,3)="USD"),(O48-K48)*Z48*AA48*H48,IF(LEFT(E48,3)="USD",IF(O48=0,"",(O48-K48)*Z48*AA48*H48/O48),AD48*10*H48)))</f>
        <v/>
      </c>
      <c r="AJ48" s="28">
        <f>IF(O48="","",IF(S48="",IF(AI48="",0,AI48),S48)-IF(R48="",0,R48))</f>
        <v/>
      </c>
      <c r="AK48" s="18">
        <f>IF(C48="","",IF(OR(O48="",P48=""),"Open",IF(ABS(AJ48)&lt;=BEThreshold,"BE",IF(AJ48&gt;0,"Win","Loss"))))</f>
        <v/>
      </c>
      <c r="AL48" s="28">
        <f>IF(OR(C48="",AK48="Open"),"",InitialCapital+SUMIFS($AJ$2:AJ48,$AK$2:AK48,"&lt;&gt;Open"))</f>
        <v/>
      </c>
      <c r="AM48" s="18">
        <f>IF(OR(C48="",AK48=""),"",IF(AK48="Open","No","Yes"))</f>
        <v/>
      </c>
    </row>
    <row r="49" ht="18" customHeight="1">
      <c r="A49" s="18">
        <f>IF(C49="","",COUNTA($C$2:C49))</f>
        <v/>
      </c>
      <c r="B49" s="18">
        <f>IF(C49="","",TEXT(C49,"dddd"))</f>
        <v/>
      </c>
      <c r="C49" s="19" t="n"/>
      <c r="D49" s="20" t="n"/>
      <c r="E49" s="21" t="n"/>
      <c r="F49" s="21" t="n"/>
      <c r="G49" s="21" t="n"/>
      <c r="H49" s="22" t="n"/>
      <c r="I49" s="23" t="n"/>
      <c r="J49" s="22" t="n"/>
      <c r="K49" s="24" t="n"/>
      <c r="L49" s="24" t="n"/>
      <c r="M49" s="24" t="n"/>
      <c r="N49" s="21" t="n"/>
      <c r="O49" s="24" t="n"/>
      <c r="P49" s="19" t="n"/>
      <c r="Q49" s="20" t="n"/>
      <c r="R49" s="23" t="n"/>
      <c r="S49" s="23" t="n"/>
      <c r="T49" s="21" t="n"/>
      <c r="U49" s="21" t="n"/>
      <c r="V49" s="21" t="n"/>
      <c r="W49" s="21" t="n"/>
      <c r="X49" s="21" t="n"/>
      <c r="Y49" s="25">
        <f>IF($C49="","",IF(E49="XAUUSD",0.1,IF(ISNUMBER(SEARCH("JPY",E49)),0.01,0.0001)))</f>
        <v/>
      </c>
      <c r="Z49" s="18">
        <f>IF($C49="","",IF(F49="Sell",-1,1))</f>
        <v/>
      </c>
      <c r="AA49" s="18">
        <f>IF($C49="","",IF(E49="XAUUSD",100,100000))</f>
        <v/>
      </c>
      <c r="AB49" s="26">
        <f>IF(OR(K49="",L49=""),"",ABS(K49-L49)/Y49)</f>
        <v/>
      </c>
      <c r="AC49" s="26">
        <f>IF(OR(K49="",M49=""),"",ABS(M49-K49)/Y49)</f>
        <v/>
      </c>
      <c r="AD49" s="26">
        <f>IF(OR(K49="",O49=""),"",(O49-K49)*Z49/Y49)</f>
        <v/>
      </c>
      <c r="AE49" s="27">
        <f>IF(OR(AB49="",AB49=0,AC49=""),"",AC49/AB49)</f>
        <v/>
      </c>
      <c r="AF49" s="27">
        <f>IF(OR(AB49="",AB49=0,AD49=""),"",AD49/AB49)</f>
        <v/>
      </c>
      <c r="AG49" s="27">
        <f>IF(OR(C49="",P49=""),"",((P49+IF(Q49="",0,Q49))-(C49+IF(D49="",0,D49)))*24)</f>
        <v/>
      </c>
      <c r="AH49" s="18">
        <f>IF(AG49="","",INT(AG49/24)&amp;"d "&amp;INT(MOD(AG49,24))&amp;"h "&amp;INT(MOD(AG49*60,60))&amp;"m")</f>
        <v/>
      </c>
      <c r="AI49" s="28">
        <f>IF(OR(O49="",K49="",H49=""),"",IF(OR(E49="XAUUSD",RIGHT(E49,3)="USD"),(O49-K49)*Z49*AA49*H49,IF(LEFT(E49,3)="USD",IF(O49=0,"",(O49-K49)*Z49*AA49*H49/O49),AD49*10*H49)))</f>
        <v/>
      </c>
      <c r="AJ49" s="28">
        <f>IF(O49="","",IF(S49="",IF(AI49="",0,AI49),S49)-IF(R49="",0,R49))</f>
        <v/>
      </c>
      <c r="AK49" s="18">
        <f>IF(C49="","",IF(OR(O49="",P49=""),"Open",IF(ABS(AJ49)&lt;=BEThreshold,"BE",IF(AJ49&gt;0,"Win","Loss"))))</f>
        <v/>
      </c>
      <c r="AL49" s="28">
        <f>IF(OR(C49="",AK49="Open"),"",InitialCapital+SUMIFS($AJ$2:AJ49,$AK$2:AK49,"&lt;&gt;Open"))</f>
        <v/>
      </c>
      <c r="AM49" s="18">
        <f>IF(OR(C49="",AK49=""),"",IF(AK49="Open","No","Yes"))</f>
        <v/>
      </c>
    </row>
    <row r="50" ht="18" customHeight="1">
      <c r="A50" s="18">
        <f>IF(C50="","",COUNTA($C$2:C50))</f>
        <v/>
      </c>
      <c r="B50" s="18">
        <f>IF(C50="","",TEXT(C50,"dddd"))</f>
        <v/>
      </c>
      <c r="C50" s="19" t="n"/>
      <c r="D50" s="20" t="n"/>
      <c r="E50" s="21" t="n"/>
      <c r="F50" s="21" t="n"/>
      <c r="G50" s="21" t="n"/>
      <c r="H50" s="22" t="n"/>
      <c r="I50" s="23" t="n"/>
      <c r="J50" s="22" t="n"/>
      <c r="K50" s="24" t="n"/>
      <c r="L50" s="24" t="n"/>
      <c r="M50" s="24" t="n"/>
      <c r="N50" s="21" t="n"/>
      <c r="O50" s="24" t="n"/>
      <c r="P50" s="19" t="n"/>
      <c r="Q50" s="20" t="n"/>
      <c r="R50" s="23" t="n"/>
      <c r="S50" s="23" t="n"/>
      <c r="T50" s="21" t="n"/>
      <c r="U50" s="21" t="n"/>
      <c r="V50" s="21" t="n"/>
      <c r="W50" s="21" t="n"/>
      <c r="X50" s="21" t="n"/>
      <c r="Y50" s="25">
        <f>IF($C50="","",IF(E50="XAUUSD",0.1,IF(ISNUMBER(SEARCH("JPY",E50)),0.01,0.0001)))</f>
        <v/>
      </c>
      <c r="Z50" s="18">
        <f>IF($C50="","",IF(F50="Sell",-1,1))</f>
        <v/>
      </c>
      <c r="AA50" s="18">
        <f>IF($C50="","",IF(E50="XAUUSD",100,100000))</f>
        <v/>
      </c>
      <c r="AB50" s="26">
        <f>IF(OR(K50="",L50=""),"",ABS(K50-L50)/Y50)</f>
        <v/>
      </c>
      <c r="AC50" s="26">
        <f>IF(OR(K50="",M50=""),"",ABS(M50-K50)/Y50)</f>
        <v/>
      </c>
      <c r="AD50" s="26">
        <f>IF(OR(K50="",O50=""),"",(O50-K50)*Z50/Y50)</f>
        <v/>
      </c>
      <c r="AE50" s="27">
        <f>IF(OR(AB50="",AB50=0,AC50=""),"",AC50/AB50)</f>
        <v/>
      </c>
      <c r="AF50" s="27">
        <f>IF(OR(AB50="",AB50=0,AD50=""),"",AD50/AB50)</f>
        <v/>
      </c>
      <c r="AG50" s="27">
        <f>IF(OR(C50="",P50=""),"",((P50+IF(Q50="",0,Q50))-(C50+IF(D50="",0,D50)))*24)</f>
        <v/>
      </c>
      <c r="AH50" s="18">
        <f>IF(AG50="","",INT(AG50/24)&amp;"d "&amp;INT(MOD(AG50,24))&amp;"h "&amp;INT(MOD(AG50*60,60))&amp;"m")</f>
        <v/>
      </c>
      <c r="AI50" s="28">
        <f>IF(OR(O50="",K50="",H50=""),"",IF(OR(E50="XAUUSD",RIGHT(E50,3)="USD"),(O50-K50)*Z50*AA50*H50,IF(LEFT(E50,3)="USD",IF(O50=0,"",(O50-K50)*Z50*AA50*H50/O50),AD50*10*H50)))</f>
        <v/>
      </c>
      <c r="AJ50" s="28">
        <f>IF(O50="","",IF(S50="",IF(AI50="",0,AI50),S50)-IF(R50="",0,R50))</f>
        <v/>
      </c>
      <c r="AK50" s="18">
        <f>IF(C50="","",IF(OR(O50="",P50=""),"Open",IF(ABS(AJ50)&lt;=BEThreshold,"BE",IF(AJ50&gt;0,"Win","Loss"))))</f>
        <v/>
      </c>
      <c r="AL50" s="28">
        <f>IF(OR(C50="",AK50="Open"),"",InitialCapital+SUMIFS($AJ$2:AJ50,$AK$2:AK50,"&lt;&gt;Open"))</f>
        <v/>
      </c>
      <c r="AM50" s="18">
        <f>IF(OR(C50="",AK50=""),"",IF(AK50="Open","No","Yes"))</f>
        <v/>
      </c>
    </row>
    <row r="51" ht="18" customHeight="1">
      <c r="A51" s="18">
        <f>IF(C51="","",COUNTA($C$2:C51))</f>
        <v/>
      </c>
      <c r="B51" s="18">
        <f>IF(C51="","",TEXT(C51,"dddd"))</f>
        <v/>
      </c>
      <c r="C51" s="19" t="n"/>
      <c r="D51" s="20" t="n"/>
      <c r="E51" s="21" t="n"/>
      <c r="F51" s="21" t="n"/>
      <c r="G51" s="21" t="n"/>
      <c r="H51" s="22" t="n"/>
      <c r="I51" s="23" t="n"/>
      <c r="J51" s="22" t="n"/>
      <c r="K51" s="24" t="n"/>
      <c r="L51" s="24" t="n"/>
      <c r="M51" s="24" t="n"/>
      <c r="N51" s="21" t="n"/>
      <c r="O51" s="24" t="n"/>
      <c r="P51" s="19" t="n"/>
      <c r="Q51" s="20" t="n"/>
      <c r="R51" s="23" t="n"/>
      <c r="S51" s="23" t="n"/>
      <c r="T51" s="21" t="n"/>
      <c r="U51" s="21" t="n"/>
      <c r="V51" s="21" t="n"/>
      <c r="W51" s="21" t="n"/>
      <c r="X51" s="21" t="n"/>
      <c r="Y51" s="25">
        <f>IF($C51="","",IF(E51="XAUUSD",0.1,IF(ISNUMBER(SEARCH("JPY",E51)),0.01,0.0001)))</f>
        <v/>
      </c>
      <c r="Z51" s="18">
        <f>IF($C51="","",IF(F51="Sell",-1,1))</f>
        <v/>
      </c>
      <c r="AA51" s="18">
        <f>IF($C51="","",IF(E51="XAUUSD",100,100000))</f>
        <v/>
      </c>
      <c r="AB51" s="26">
        <f>IF(OR(K51="",L51=""),"",ABS(K51-L51)/Y51)</f>
        <v/>
      </c>
      <c r="AC51" s="26">
        <f>IF(OR(K51="",M51=""),"",ABS(M51-K51)/Y51)</f>
        <v/>
      </c>
      <c r="AD51" s="26">
        <f>IF(OR(K51="",O51=""),"",(O51-K51)*Z51/Y51)</f>
        <v/>
      </c>
      <c r="AE51" s="27">
        <f>IF(OR(AB51="",AB51=0,AC51=""),"",AC51/AB51)</f>
        <v/>
      </c>
      <c r="AF51" s="27">
        <f>IF(OR(AB51="",AB51=0,AD51=""),"",AD51/AB51)</f>
        <v/>
      </c>
      <c r="AG51" s="27">
        <f>IF(OR(C51="",P51=""),"",((P51+IF(Q51="",0,Q51))-(C51+IF(D51="",0,D51)))*24)</f>
        <v/>
      </c>
      <c r="AH51" s="18">
        <f>IF(AG51="","",INT(AG51/24)&amp;"d "&amp;INT(MOD(AG51,24))&amp;"h "&amp;INT(MOD(AG51*60,60))&amp;"m")</f>
        <v/>
      </c>
      <c r="AI51" s="28">
        <f>IF(OR(O51="",K51="",H51=""),"",IF(OR(E51="XAUUSD",RIGHT(E51,3)="USD"),(O51-K51)*Z51*AA51*H51,IF(LEFT(E51,3)="USD",IF(O51=0,"",(O51-K51)*Z51*AA51*H51/O51),AD51*10*H51)))</f>
        <v/>
      </c>
      <c r="AJ51" s="28">
        <f>IF(O51="","",IF(S51="",IF(AI51="",0,AI51),S51)-IF(R51="",0,R51))</f>
        <v/>
      </c>
      <c r="AK51" s="18">
        <f>IF(C51="","",IF(OR(O51="",P51=""),"Open",IF(ABS(AJ51)&lt;=BEThreshold,"BE",IF(AJ51&gt;0,"Win","Loss"))))</f>
        <v/>
      </c>
      <c r="AL51" s="28">
        <f>IF(OR(C51="",AK51="Open"),"",InitialCapital+SUMIFS($AJ$2:AJ51,$AK$2:AK51,"&lt;&gt;Open"))</f>
        <v/>
      </c>
      <c r="AM51" s="18">
        <f>IF(OR(C51="",AK51=""),"",IF(AK51="Open","No","Yes"))</f>
        <v/>
      </c>
    </row>
    <row r="52" ht="18" customHeight="1">
      <c r="A52" s="18">
        <f>IF(C52="","",COUNTA($C$2:C52))</f>
        <v/>
      </c>
      <c r="B52" s="18">
        <f>IF(C52="","",TEXT(C52,"dddd"))</f>
        <v/>
      </c>
      <c r="C52" s="19" t="n"/>
      <c r="D52" s="20" t="n"/>
      <c r="E52" s="21" t="n"/>
      <c r="F52" s="21" t="n"/>
      <c r="G52" s="21" t="n"/>
      <c r="H52" s="22" t="n"/>
      <c r="I52" s="23" t="n"/>
      <c r="J52" s="22" t="n"/>
      <c r="K52" s="24" t="n"/>
      <c r="L52" s="24" t="n"/>
      <c r="M52" s="24" t="n"/>
      <c r="N52" s="21" t="n"/>
      <c r="O52" s="24" t="n"/>
      <c r="P52" s="19" t="n"/>
      <c r="Q52" s="20" t="n"/>
      <c r="R52" s="23" t="n"/>
      <c r="S52" s="23" t="n"/>
      <c r="T52" s="21" t="n"/>
      <c r="U52" s="21" t="n"/>
      <c r="V52" s="21" t="n"/>
      <c r="W52" s="21" t="n"/>
      <c r="X52" s="21" t="n"/>
      <c r="Y52" s="25">
        <f>IF($C52="","",IF(E52="XAUUSD",0.1,IF(ISNUMBER(SEARCH("JPY",E52)),0.01,0.0001)))</f>
        <v/>
      </c>
      <c r="Z52" s="18">
        <f>IF($C52="","",IF(F52="Sell",-1,1))</f>
        <v/>
      </c>
      <c r="AA52" s="18">
        <f>IF($C52="","",IF(E52="XAUUSD",100,100000))</f>
        <v/>
      </c>
      <c r="AB52" s="26">
        <f>IF(OR(K52="",L52=""),"",ABS(K52-L52)/Y52)</f>
        <v/>
      </c>
      <c r="AC52" s="26">
        <f>IF(OR(K52="",M52=""),"",ABS(M52-K52)/Y52)</f>
        <v/>
      </c>
      <c r="AD52" s="26">
        <f>IF(OR(K52="",O52=""),"",(O52-K52)*Z52/Y52)</f>
        <v/>
      </c>
      <c r="AE52" s="27">
        <f>IF(OR(AB52="",AB52=0,AC52=""),"",AC52/AB52)</f>
        <v/>
      </c>
      <c r="AF52" s="27">
        <f>IF(OR(AB52="",AB52=0,AD52=""),"",AD52/AB52)</f>
        <v/>
      </c>
      <c r="AG52" s="27">
        <f>IF(OR(C52="",P52=""),"",((P52+IF(Q52="",0,Q52))-(C52+IF(D52="",0,D52)))*24)</f>
        <v/>
      </c>
      <c r="AH52" s="18">
        <f>IF(AG52="","",INT(AG52/24)&amp;"d "&amp;INT(MOD(AG52,24))&amp;"h "&amp;INT(MOD(AG52*60,60))&amp;"m")</f>
        <v/>
      </c>
      <c r="AI52" s="28">
        <f>IF(OR(O52="",K52="",H52=""),"",IF(OR(E52="XAUUSD",RIGHT(E52,3)="USD"),(O52-K52)*Z52*AA52*H52,IF(LEFT(E52,3)="USD",IF(O52=0,"",(O52-K52)*Z52*AA52*H52/O52),AD52*10*H52)))</f>
        <v/>
      </c>
      <c r="AJ52" s="28">
        <f>IF(O52="","",IF(S52="",IF(AI52="",0,AI52),S52)-IF(R52="",0,R52))</f>
        <v/>
      </c>
      <c r="AK52" s="18">
        <f>IF(C52="","",IF(OR(O52="",P52=""),"Open",IF(ABS(AJ52)&lt;=BEThreshold,"BE",IF(AJ52&gt;0,"Win","Loss"))))</f>
        <v/>
      </c>
      <c r="AL52" s="28">
        <f>IF(OR(C52="",AK52="Open"),"",InitialCapital+SUMIFS($AJ$2:AJ52,$AK$2:AK52,"&lt;&gt;Open"))</f>
        <v/>
      </c>
      <c r="AM52" s="18">
        <f>IF(OR(C52="",AK52=""),"",IF(AK52="Open","No","Yes"))</f>
        <v/>
      </c>
    </row>
    <row r="53" ht="18" customHeight="1">
      <c r="A53" s="18">
        <f>IF(C53="","",COUNTA($C$2:C53))</f>
        <v/>
      </c>
      <c r="B53" s="18">
        <f>IF(C53="","",TEXT(C53,"dddd"))</f>
        <v/>
      </c>
      <c r="C53" s="19" t="n"/>
      <c r="D53" s="20" t="n"/>
      <c r="E53" s="21" t="n"/>
      <c r="F53" s="21" t="n"/>
      <c r="G53" s="21" t="n"/>
      <c r="H53" s="22" t="n"/>
      <c r="I53" s="23" t="n"/>
      <c r="J53" s="22" t="n"/>
      <c r="K53" s="24" t="n"/>
      <c r="L53" s="24" t="n"/>
      <c r="M53" s="24" t="n"/>
      <c r="N53" s="21" t="n"/>
      <c r="O53" s="24" t="n"/>
      <c r="P53" s="19" t="n"/>
      <c r="Q53" s="20" t="n"/>
      <c r="R53" s="23" t="n"/>
      <c r="S53" s="23" t="n"/>
      <c r="T53" s="21" t="n"/>
      <c r="U53" s="21" t="n"/>
      <c r="V53" s="21" t="n"/>
      <c r="W53" s="21" t="n"/>
      <c r="X53" s="21" t="n"/>
      <c r="Y53" s="25">
        <f>IF($C53="","",IF(E53="XAUUSD",0.1,IF(ISNUMBER(SEARCH("JPY",E53)),0.01,0.0001)))</f>
        <v/>
      </c>
      <c r="Z53" s="18">
        <f>IF($C53="","",IF(F53="Sell",-1,1))</f>
        <v/>
      </c>
      <c r="AA53" s="18">
        <f>IF($C53="","",IF(E53="XAUUSD",100,100000))</f>
        <v/>
      </c>
      <c r="AB53" s="26">
        <f>IF(OR(K53="",L53=""),"",ABS(K53-L53)/Y53)</f>
        <v/>
      </c>
      <c r="AC53" s="26">
        <f>IF(OR(K53="",M53=""),"",ABS(M53-K53)/Y53)</f>
        <v/>
      </c>
      <c r="AD53" s="26">
        <f>IF(OR(K53="",O53=""),"",(O53-K53)*Z53/Y53)</f>
        <v/>
      </c>
      <c r="AE53" s="27">
        <f>IF(OR(AB53="",AB53=0,AC53=""),"",AC53/AB53)</f>
        <v/>
      </c>
      <c r="AF53" s="27">
        <f>IF(OR(AB53="",AB53=0,AD53=""),"",AD53/AB53)</f>
        <v/>
      </c>
      <c r="AG53" s="27">
        <f>IF(OR(C53="",P53=""),"",((P53+IF(Q53="",0,Q53))-(C53+IF(D53="",0,D53)))*24)</f>
        <v/>
      </c>
      <c r="AH53" s="18">
        <f>IF(AG53="","",INT(AG53/24)&amp;"d "&amp;INT(MOD(AG53,24))&amp;"h "&amp;INT(MOD(AG53*60,60))&amp;"m")</f>
        <v/>
      </c>
      <c r="AI53" s="28">
        <f>IF(OR(O53="",K53="",H53=""),"",IF(OR(E53="XAUUSD",RIGHT(E53,3)="USD"),(O53-K53)*Z53*AA53*H53,IF(LEFT(E53,3)="USD",IF(O53=0,"",(O53-K53)*Z53*AA53*H53/O53),AD53*10*H53)))</f>
        <v/>
      </c>
      <c r="AJ53" s="28">
        <f>IF(O53="","",IF(S53="",IF(AI53="",0,AI53),S53)-IF(R53="",0,R53))</f>
        <v/>
      </c>
      <c r="AK53" s="18">
        <f>IF(C53="","",IF(OR(O53="",P53=""),"Open",IF(ABS(AJ53)&lt;=BEThreshold,"BE",IF(AJ53&gt;0,"Win","Loss"))))</f>
        <v/>
      </c>
      <c r="AL53" s="28">
        <f>IF(OR(C53="",AK53="Open"),"",InitialCapital+SUMIFS($AJ$2:AJ53,$AK$2:AK53,"&lt;&gt;Open"))</f>
        <v/>
      </c>
      <c r="AM53" s="18">
        <f>IF(OR(C53="",AK53=""),"",IF(AK53="Open","No","Yes"))</f>
        <v/>
      </c>
    </row>
    <row r="54" ht="18" customHeight="1">
      <c r="A54" s="18">
        <f>IF(C54="","",COUNTA($C$2:C54))</f>
        <v/>
      </c>
      <c r="B54" s="18">
        <f>IF(C54="","",TEXT(C54,"dddd"))</f>
        <v/>
      </c>
      <c r="C54" s="19" t="n"/>
      <c r="D54" s="20" t="n"/>
      <c r="E54" s="21" t="n"/>
      <c r="F54" s="21" t="n"/>
      <c r="G54" s="21" t="n"/>
      <c r="H54" s="22" t="n"/>
      <c r="I54" s="23" t="n"/>
      <c r="J54" s="22" t="n"/>
      <c r="K54" s="24" t="n"/>
      <c r="L54" s="24" t="n"/>
      <c r="M54" s="24" t="n"/>
      <c r="N54" s="21" t="n"/>
      <c r="O54" s="24" t="n"/>
      <c r="P54" s="19" t="n"/>
      <c r="Q54" s="20" t="n"/>
      <c r="R54" s="23" t="n"/>
      <c r="S54" s="23" t="n"/>
      <c r="T54" s="21" t="n"/>
      <c r="U54" s="21" t="n"/>
      <c r="V54" s="21" t="n"/>
      <c r="W54" s="21" t="n"/>
      <c r="X54" s="21" t="n"/>
      <c r="Y54" s="25">
        <f>IF($C54="","",IF(E54="XAUUSD",0.1,IF(ISNUMBER(SEARCH("JPY",E54)),0.01,0.0001)))</f>
        <v/>
      </c>
      <c r="Z54" s="18">
        <f>IF($C54="","",IF(F54="Sell",-1,1))</f>
        <v/>
      </c>
      <c r="AA54" s="18">
        <f>IF($C54="","",IF(E54="XAUUSD",100,100000))</f>
        <v/>
      </c>
      <c r="AB54" s="26">
        <f>IF(OR(K54="",L54=""),"",ABS(K54-L54)/Y54)</f>
        <v/>
      </c>
      <c r="AC54" s="26">
        <f>IF(OR(K54="",M54=""),"",ABS(M54-K54)/Y54)</f>
        <v/>
      </c>
      <c r="AD54" s="26">
        <f>IF(OR(K54="",O54=""),"",(O54-K54)*Z54/Y54)</f>
        <v/>
      </c>
      <c r="AE54" s="27">
        <f>IF(OR(AB54="",AB54=0,AC54=""),"",AC54/AB54)</f>
        <v/>
      </c>
      <c r="AF54" s="27">
        <f>IF(OR(AB54="",AB54=0,AD54=""),"",AD54/AB54)</f>
        <v/>
      </c>
      <c r="AG54" s="27">
        <f>IF(OR(C54="",P54=""),"",((P54+IF(Q54="",0,Q54))-(C54+IF(D54="",0,D54)))*24)</f>
        <v/>
      </c>
      <c r="AH54" s="18">
        <f>IF(AG54="","",INT(AG54/24)&amp;"d "&amp;INT(MOD(AG54,24))&amp;"h "&amp;INT(MOD(AG54*60,60))&amp;"m")</f>
        <v/>
      </c>
      <c r="AI54" s="28">
        <f>IF(OR(O54="",K54="",H54=""),"",IF(OR(E54="XAUUSD",RIGHT(E54,3)="USD"),(O54-K54)*Z54*AA54*H54,IF(LEFT(E54,3)="USD",IF(O54=0,"",(O54-K54)*Z54*AA54*H54/O54),AD54*10*H54)))</f>
        <v/>
      </c>
      <c r="AJ54" s="28">
        <f>IF(O54="","",IF(S54="",IF(AI54="",0,AI54),S54)-IF(R54="",0,R54))</f>
        <v/>
      </c>
      <c r="AK54" s="18">
        <f>IF(C54="","",IF(OR(O54="",P54=""),"Open",IF(ABS(AJ54)&lt;=BEThreshold,"BE",IF(AJ54&gt;0,"Win","Loss"))))</f>
        <v/>
      </c>
      <c r="AL54" s="28">
        <f>IF(OR(C54="",AK54="Open"),"",InitialCapital+SUMIFS($AJ$2:AJ54,$AK$2:AK54,"&lt;&gt;Open"))</f>
        <v/>
      </c>
      <c r="AM54" s="18">
        <f>IF(OR(C54="",AK54=""),"",IF(AK54="Open","No","Yes"))</f>
        <v/>
      </c>
    </row>
    <row r="55" ht="18" customHeight="1">
      <c r="A55" s="18">
        <f>IF(C55="","",COUNTA($C$2:C55))</f>
        <v/>
      </c>
      <c r="B55" s="18">
        <f>IF(C55="","",TEXT(C55,"dddd"))</f>
        <v/>
      </c>
      <c r="C55" s="19" t="n"/>
      <c r="D55" s="20" t="n"/>
      <c r="E55" s="21" t="n"/>
      <c r="F55" s="21" t="n"/>
      <c r="G55" s="21" t="n"/>
      <c r="H55" s="22" t="n"/>
      <c r="I55" s="23" t="n"/>
      <c r="J55" s="22" t="n"/>
      <c r="K55" s="24" t="n"/>
      <c r="L55" s="24" t="n"/>
      <c r="M55" s="24" t="n"/>
      <c r="N55" s="21" t="n"/>
      <c r="O55" s="24" t="n"/>
      <c r="P55" s="19" t="n"/>
      <c r="Q55" s="20" t="n"/>
      <c r="R55" s="23" t="n"/>
      <c r="S55" s="23" t="n"/>
      <c r="T55" s="21" t="n"/>
      <c r="U55" s="21" t="n"/>
      <c r="V55" s="21" t="n"/>
      <c r="W55" s="21" t="n"/>
      <c r="X55" s="21" t="n"/>
      <c r="Y55" s="25">
        <f>IF($C55="","",IF(E55="XAUUSD",0.1,IF(ISNUMBER(SEARCH("JPY",E55)),0.01,0.0001)))</f>
        <v/>
      </c>
      <c r="Z55" s="18">
        <f>IF($C55="","",IF(F55="Sell",-1,1))</f>
        <v/>
      </c>
      <c r="AA55" s="18">
        <f>IF($C55="","",IF(E55="XAUUSD",100,100000))</f>
        <v/>
      </c>
      <c r="AB55" s="26">
        <f>IF(OR(K55="",L55=""),"",ABS(K55-L55)/Y55)</f>
        <v/>
      </c>
      <c r="AC55" s="26">
        <f>IF(OR(K55="",M55=""),"",ABS(M55-K55)/Y55)</f>
        <v/>
      </c>
      <c r="AD55" s="26">
        <f>IF(OR(K55="",O55=""),"",(O55-K55)*Z55/Y55)</f>
        <v/>
      </c>
      <c r="AE55" s="27">
        <f>IF(OR(AB55="",AB55=0,AC55=""),"",AC55/AB55)</f>
        <v/>
      </c>
      <c r="AF55" s="27">
        <f>IF(OR(AB55="",AB55=0,AD55=""),"",AD55/AB55)</f>
        <v/>
      </c>
      <c r="AG55" s="27">
        <f>IF(OR(C55="",P55=""),"",((P55+IF(Q55="",0,Q55))-(C55+IF(D55="",0,D55)))*24)</f>
        <v/>
      </c>
      <c r="AH55" s="18">
        <f>IF(AG55="","",INT(AG55/24)&amp;"d "&amp;INT(MOD(AG55,24))&amp;"h "&amp;INT(MOD(AG55*60,60))&amp;"m")</f>
        <v/>
      </c>
      <c r="AI55" s="28">
        <f>IF(OR(O55="",K55="",H55=""),"",IF(OR(E55="XAUUSD",RIGHT(E55,3)="USD"),(O55-K55)*Z55*AA55*H55,IF(LEFT(E55,3)="USD",IF(O55=0,"",(O55-K55)*Z55*AA55*H55/O55),AD55*10*H55)))</f>
        <v/>
      </c>
      <c r="AJ55" s="28">
        <f>IF(O55="","",IF(S55="",IF(AI55="",0,AI55),S55)-IF(R55="",0,R55))</f>
        <v/>
      </c>
      <c r="AK55" s="18">
        <f>IF(C55="","",IF(OR(O55="",P55=""),"Open",IF(ABS(AJ55)&lt;=BEThreshold,"BE",IF(AJ55&gt;0,"Win","Loss"))))</f>
        <v/>
      </c>
      <c r="AL55" s="28">
        <f>IF(OR(C55="",AK55="Open"),"",InitialCapital+SUMIFS($AJ$2:AJ55,$AK$2:AK55,"&lt;&gt;Open"))</f>
        <v/>
      </c>
      <c r="AM55" s="18">
        <f>IF(OR(C55="",AK55=""),"",IF(AK55="Open","No","Yes"))</f>
        <v/>
      </c>
    </row>
    <row r="56" ht="18" customHeight="1">
      <c r="A56" s="18">
        <f>IF(C56="","",COUNTA($C$2:C56))</f>
        <v/>
      </c>
      <c r="B56" s="18">
        <f>IF(C56="","",TEXT(C56,"dddd"))</f>
        <v/>
      </c>
      <c r="C56" s="19" t="n"/>
      <c r="D56" s="20" t="n"/>
      <c r="E56" s="21" t="n"/>
      <c r="F56" s="21" t="n"/>
      <c r="G56" s="21" t="n"/>
      <c r="H56" s="22" t="n"/>
      <c r="I56" s="23" t="n"/>
      <c r="J56" s="22" t="n"/>
      <c r="K56" s="24" t="n"/>
      <c r="L56" s="24" t="n"/>
      <c r="M56" s="24" t="n"/>
      <c r="N56" s="21" t="n"/>
      <c r="O56" s="24" t="n"/>
      <c r="P56" s="19" t="n"/>
      <c r="Q56" s="20" t="n"/>
      <c r="R56" s="23" t="n"/>
      <c r="S56" s="23" t="n"/>
      <c r="T56" s="21" t="n"/>
      <c r="U56" s="21" t="n"/>
      <c r="V56" s="21" t="n"/>
      <c r="W56" s="21" t="n"/>
      <c r="X56" s="21" t="n"/>
      <c r="Y56" s="25">
        <f>IF($C56="","",IF(E56="XAUUSD",0.1,IF(ISNUMBER(SEARCH("JPY",E56)),0.01,0.0001)))</f>
        <v/>
      </c>
      <c r="Z56" s="18">
        <f>IF($C56="","",IF(F56="Sell",-1,1))</f>
        <v/>
      </c>
      <c r="AA56" s="18">
        <f>IF($C56="","",IF(E56="XAUUSD",100,100000))</f>
        <v/>
      </c>
      <c r="AB56" s="26">
        <f>IF(OR(K56="",L56=""),"",ABS(K56-L56)/Y56)</f>
        <v/>
      </c>
      <c r="AC56" s="26">
        <f>IF(OR(K56="",M56=""),"",ABS(M56-K56)/Y56)</f>
        <v/>
      </c>
      <c r="AD56" s="26">
        <f>IF(OR(K56="",O56=""),"",(O56-K56)*Z56/Y56)</f>
        <v/>
      </c>
      <c r="AE56" s="27">
        <f>IF(OR(AB56="",AB56=0,AC56=""),"",AC56/AB56)</f>
        <v/>
      </c>
      <c r="AF56" s="27">
        <f>IF(OR(AB56="",AB56=0,AD56=""),"",AD56/AB56)</f>
        <v/>
      </c>
      <c r="AG56" s="27">
        <f>IF(OR(C56="",P56=""),"",((P56+IF(Q56="",0,Q56))-(C56+IF(D56="",0,D56)))*24)</f>
        <v/>
      </c>
      <c r="AH56" s="18">
        <f>IF(AG56="","",INT(AG56/24)&amp;"d "&amp;INT(MOD(AG56,24))&amp;"h "&amp;INT(MOD(AG56*60,60))&amp;"m")</f>
        <v/>
      </c>
      <c r="AI56" s="28">
        <f>IF(OR(O56="",K56="",H56=""),"",IF(OR(E56="XAUUSD",RIGHT(E56,3)="USD"),(O56-K56)*Z56*AA56*H56,IF(LEFT(E56,3)="USD",IF(O56=0,"",(O56-K56)*Z56*AA56*H56/O56),AD56*10*H56)))</f>
        <v/>
      </c>
      <c r="AJ56" s="28">
        <f>IF(O56="","",IF(S56="",IF(AI56="",0,AI56),S56)-IF(R56="",0,R56))</f>
        <v/>
      </c>
      <c r="AK56" s="18">
        <f>IF(C56="","",IF(OR(O56="",P56=""),"Open",IF(ABS(AJ56)&lt;=BEThreshold,"BE",IF(AJ56&gt;0,"Win","Loss"))))</f>
        <v/>
      </c>
      <c r="AL56" s="28">
        <f>IF(OR(C56="",AK56="Open"),"",InitialCapital+SUMIFS($AJ$2:AJ56,$AK$2:AK56,"&lt;&gt;Open"))</f>
        <v/>
      </c>
      <c r="AM56" s="18">
        <f>IF(OR(C56="",AK56=""),"",IF(AK56="Open","No","Yes"))</f>
        <v/>
      </c>
    </row>
    <row r="57" ht="18" customHeight="1">
      <c r="A57" s="18">
        <f>IF(C57="","",COUNTA($C$2:C57))</f>
        <v/>
      </c>
      <c r="B57" s="18">
        <f>IF(C57="","",TEXT(C57,"dddd"))</f>
        <v/>
      </c>
      <c r="C57" s="19" t="n"/>
      <c r="D57" s="20" t="n"/>
      <c r="E57" s="21" t="n"/>
      <c r="F57" s="21" t="n"/>
      <c r="G57" s="21" t="n"/>
      <c r="H57" s="22" t="n"/>
      <c r="I57" s="23" t="n"/>
      <c r="J57" s="22" t="n"/>
      <c r="K57" s="24" t="n"/>
      <c r="L57" s="24" t="n"/>
      <c r="M57" s="24" t="n"/>
      <c r="N57" s="21" t="n"/>
      <c r="O57" s="24" t="n"/>
      <c r="P57" s="19" t="n"/>
      <c r="Q57" s="20" t="n"/>
      <c r="R57" s="23" t="n"/>
      <c r="S57" s="23" t="n"/>
      <c r="T57" s="21" t="n"/>
      <c r="U57" s="21" t="n"/>
      <c r="V57" s="21" t="n"/>
      <c r="W57" s="21" t="n"/>
      <c r="X57" s="21" t="n"/>
      <c r="Y57" s="25">
        <f>IF($C57="","",IF(E57="XAUUSD",0.1,IF(ISNUMBER(SEARCH("JPY",E57)),0.01,0.0001)))</f>
        <v/>
      </c>
      <c r="Z57" s="18">
        <f>IF($C57="","",IF(F57="Sell",-1,1))</f>
        <v/>
      </c>
      <c r="AA57" s="18">
        <f>IF($C57="","",IF(E57="XAUUSD",100,100000))</f>
        <v/>
      </c>
      <c r="AB57" s="26">
        <f>IF(OR(K57="",L57=""),"",ABS(K57-L57)/Y57)</f>
        <v/>
      </c>
      <c r="AC57" s="26">
        <f>IF(OR(K57="",M57=""),"",ABS(M57-K57)/Y57)</f>
        <v/>
      </c>
      <c r="AD57" s="26">
        <f>IF(OR(K57="",O57=""),"",(O57-K57)*Z57/Y57)</f>
        <v/>
      </c>
      <c r="AE57" s="27">
        <f>IF(OR(AB57="",AB57=0,AC57=""),"",AC57/AB57)</f>
        <v/>
      </c>
      <c r="AF57" s="27">
        <f>IF(OR(AB57="",AB57=0,AD57=""),"",AD57/AB57)</f>
        <v/>
      </c>
      <c r="AG57" s="27">
        <f>IF(OR(C57="",P57=""),"",((P57+IF(Q57="",0,Q57))-(C57+IF(D57="",0,D57)))*24)</f>
        <v/>
      </c>
      <c r="AH57" s="18">
        <f>IF(AG57="","",INT(AG57/24)&amp;"d "&amp;INT(MOD(AG57,24))&amp;"h "&amp;INT(MOD(AG57*60,60))&amp;"m")</f>
        <v/>
      </c>
      <c r="AI57" s="28">
        <f>IF(OR(O57="",K57="",H57=""),"",IF(OR(E57="XAUUSD",RIGHT(E57,3)="USD"),(O57-K57)*Z57*AA57*H57,IF(LEFT(E57,3)="USD",IF(O57=0,"",(O57-K57)*Z57*AA57*H57/O57),AD57*10*H57)))</f>
        <v/>
      </c>
      <c r="AJ57" s="28">
        <f>IF(O57="","",IF(S57="",IF(AI57="",0,AI57),S57)-IF(R57="",0,R57))</f>
        <v/>
      </c>
      <c r="AK57" s="18">
        <f>IF(C57="","",IF(OR(O57="",P57=""),"Open",IF(ABS(AJ57)&lt;=BEThreshold,"BE",IF(AJ57&gt;0,"Win","Loss"))))</f>
        <v/>
      </c>
      <c r="AL57" s="28">
        <f>IF(OR(C57="",AK57="Open"),"",InitialCapital+SUMIFS($AJ$2:AJ57,$AK$2:AK57,"&lt;&gt;Open"))</f>
        <v/>
      </c>
      <c r="AM57" s="18">
        <f>IF(OR(C57="",AK57=""),"",IF(AK57="Open","No","Yes"))</f>
        <v/>
      </c>
    </row>
    <row r="58" ht="18" customHeight="1">
      <c r="A58" s="18">
        <f>IF(C58="","",COUNTA($C$2:C58))</f>
        <v/>
      </c>
      <c r="B58" s="18">
        <f>IF(C58="","",TEXT(C58,"dddd"))</f>
        <v/>
      </c>
      <c r="C58" s="19" t="n"/>
      <c r="D58" s="20" t="n"/>
      <c r="E58" s="21" t="n"/>
      <c r="F58" s="21" t="n"/>
      <c r="G58" s="21" t="n"/>
      <c r="H58" s="22" t="n"/>
      <c r="I58" s="23" t="n"/>
      <c r="J58" s="22" t="n"/>
      <c r="K58" s="24" t="n"/>
      <c r="L58" s="24" t="n"/>
      <c r="M58" s="24" t="n"/>
      <c r="N58" s="21" t="n"/>
      <c r="O58" s="24" t="n"/>
      <c r="P58" s="19" t="n"/>
      <c r="Q58" s="20" t="n"/>
      <c r="R58" s="23" t="n"/>
      <c r="S58" s="23" t="n"/>
      <c r="T58" s="21" t="n"/>
      <c r="U58" s="21" t="n"/>
      <c r="V58" s="21" t="n"/>
      <c r="W58" s="21" t="n"/>
      <c r="X58" s="21" t="n"/>
      <c r="Y58" s="25">
        <f>IF($C58="","",IF(E58="XAUUSD",0.1,IF(ISNUMBER(SEARCH("JPY",E58)),0.01,0.0001)))</f>
        <v/>
      </c>
      <c r="Z58" s="18">
        <f>IF($C58="","",IF(F58="Sell",-1,1))</f>
        <v/>
      </c>
      <c r="AA58" s="18">
        <f>IF($C58="","",IF(E58="XAUUSD",100,100000))</f>
        <v/>
      </c>
      <c r="AB58" s="26">
        <f>IF(OR(K58="",L58=""),"",ABS(K58-L58)/Y58)</f>
        <v/>
      </c>
      <c r="AC58" s="26">
        <f>IF(OR(K58="",M58=""),"",ABS(M58-K58)/Y58)</f>
        <v/>
      </c>
      <c r="AD58" s="26">
        <f>IF(OR(K58="",O58=""),"",(O58-K58)*Z58/Y58)</f>
        <v/>
      </c>
      <c r="AE58" s="27">
        <f>IF(OR(AB58="",AB58=0,AC58=""),"",AC58/AB58)</f>
        <v/>
      </c>
      <c r="AF58" s="27">
        <f>IF(OR(AB58="",AB58=0,AD58=""),"",AD58/AB58)</f>
        <v/>
      </c>
      <c r="AG58" s="27">
        <f>IF(OR(C58="",P58=""),"",((P58+IF(Q58="",0,Q58))-(C58+IF(D58="",0,D58)))*24)</f>
        <v/>
      </c>
      <c r="AH58" s="18">
        <f>IF(AG58="","",INT(AG58/24)&amp;"d "&amp;INT(MOD(AG58,24))&amp;"h "&amp;INT(MOD(AG58*60,60))&amp;"m")</f>
        <v/>
      </c>
      <c r="AI58" s="28">
        <f>IF(OR(O58="",K58="",H58=""),"",IF(OR(E58="XAUUSD",RIGHT(E58,3)="USD"),(O58-K58)*Z58*AA58*H58,IF(LEFT(E58,3)="USD",IF(O58=0,"",(O58-K58)*Z58*AA58*H58/O58),AD58*10*H58)))</f>
        <v/>
      </c>
      <c r="AJ58" s="28">
        <f>IF(O58="","",IF(S58="",IF(AI58="",0,AI58),S58)-IF(R58="",0,R58))</f>
        <v/>
      </c>
      <c r="AK58" s="18">
        <f>IF(C58="","",IF(OR(O58="",P58=""),"Open",IF(ABS(AJ58)&lt;=BEThreshold,"BE",IF(AJ58&gt;0,"Win","Loss"))))</f>
        <v/>
      </c>
      <c r="AL58" s="28">
        <f>IF(OR(C58="",AK58="Open"),"",InitialCapital+SUMIFS($AJ$2:AJ58,$AK$2:AK58,"&lt;&gt;Open"))</f>
        <v/>
      </c>
      <c r="AM58" s="18">
        <f>IF(OR(C58="",AK58=""),"",IF(AK58="Open","No","Yes"))</f>
        <v/>
      </c>
    </row>
    <row r="59" ht="18" customHeight="1">
      <c r="A59" s="18">
        <f>IF(C59="","",COUNTA($C$2:C59))</f>
        <v/>
      </c>
      <c r="B59" s="18">
        <f>IF(C59="","",TEXT(C59,"dddd"))</f>
        <v/>
      </c>
      <c r="C59" s="19" t="n"/>
      <c r="D59" s="20" t="n"/>
      <c r="E59" s="21" t="n"/>
      <c r="F59" s="21" t="n"/>
      <c r="G59" s="21" t="n"/>
      <c r="H59" s="22" t="n"/>
      <c r="I59" s="23" t="n"/>
      <c r="J59" s="22" t="n"/>
      <c r="K59" s="24" t="n"/>
      <c r="L59" s="24" t="n"/>
      <c r="M59" s="24" t="n"/>
      <c r="N59" s="21" t="n"/>
      <c r="O59" s="24" t="n"/>
      <c r="P59" s="19" t="n"/>
      <c r="Q59" s="20" t="n"/>
      <c r="R59" s="23" t="n"/>
      <c r="S59" s="23" t="n"/>
      <c r="T59" s="21" t="n"/>
      <c r="U59" s="21" t="n"/>
      <c r="V59" s="21" t="n"/>
      <c r="W59" s="21" t="n"/>
      <c r="X59" s="21" t="n"/>
      <c r="Y59" s="25">
        <f>IF($C59="","",IF(E59="XAUUSD",0.1,IF(ISNUMBER(SEARCH("JPY",E59)),0.01,0.0001)))</f>
        <v/>
      </c>
      <c r="Z59" s="18">
        <f>IF($C59="","",IF(F59="Sell",-1,1))</f>
        <v/>
      </c>
      <c r="AA59" s="18">
        <f>IF($C59="","",IF(E59="XAUUSD",100,100000))</f>
        <v/>
      </c>
      <c r="AB59" s="26">
        <f>IF(OR(K59="",L59=""),"",ABS(K59-L59)/Y59)</f>
        <v/>
      </c>
      <c r="AC59" s="26">
        <f>IF(OR(K59="",M59=""),"",ABS(M59-K59)/Y59)</f>
        <v/>
      </c>
      <c r="AD59" s="26">
        <f>IF(OR(K59="",O59=""),"",(O59-K59)*Z59/Y59)</f>
        <v/>
      </c>
      <c r="AE59" s="27">
        <f>IF(OR(AB59="",AB59=0,AC59=""),"",AC59/AB59)</f>
        <v/>
      </c>
      <c r="AF59" s="27">
        <f>IF(OR(AB59="",AB59=0,AD59=""),"",AD59/AB59)</f>
        <v/>
      </c>
      <c r="AG59" s="27">
        <f>IF(OR(C59="",P59=""),"",((P59+IF(Q59="",0,Q59))-(C59+IF(D59="",0,D59)))*24)</f>
        <v/>
      </c>
      <c r="AH59" s="18">
        <f>IF(AG59="","",INT(AG59/24)&amp;"d "&amp;INT(MOD(AG59,24))&amp;"h "&amp;INT(MOD(AG59*60,60))&amp;"m")</f>
        <v/>
      </c>
      <c r="AI59" s="28">
        <f>IF(OR(O59="",K59="",H59=""),"",IF(OR(E59="XAUUSD",RIGHT(E59,3)="USD"),(O59-K59)*Z59*AA59*H59,IF(LEFT(E59,3)="USD",IF(O59=0,"",(O59-K59)*Z59*AA59*H59/O59),AD59*10*H59)))</f>
        <v/>
      </c>
      <c r="AJ59" s="28">
        <f>IF(O59="","",IF(S59="",IF(AI59="",0,AI59),S59)-IF(R59="",0,R59))</f>
        <v/>
      </c>
      <c r="AK59" s="18">
        <f>IF(C59="","",IF(OR(O59="",P59=""),"Open",IF(ABS(AJ59)&lt;=BEThreshold,"BE",IF(AJ59&gt;0,"Win","Loss"))))</f>
        <v/>
      </c>
      <c r="AL59" s="28">
        <f>IF(OR(C59="",AK59="Open"),"",InitialCapital+SUMIFS($AJ$2:AJ59,$AK$2:AK59,"&lt;&gt;Open"))</f>
        <v/>
      </c>
      <c r="AM59" s="18">
        <f>IF(OR(C59="",AK59=""),"",IF(AK59="Open","No","Yes"))</f>
        <v/>
      </c>
    </row>
    <row r="60" ht="18" customHeight="1">
      <c r="A60" s="18">
        <f>IF(C60="","",COUNTA($C$2:C60))</f>
        <v/>
      </c>
      <c r="B60" s="18">
        <f>IF(C60="","",TEXT(C60,"dddd"))</f>
        <v/>
      </c>
      <c r="C60" s="19" t="n"/>
      <c r="D60" s="20" t="n"/>
      <c r="E60" s="21" t="n"/>
      <c r="F60" s="21" t="n"/>
      <c r="G60" s="21" t="n"/>
      <c r="H60" s="22" t="n"/>
      <c r="I60" s="23" t="n"/>
      <c r="J60" s="22" t="n"/>
      <c r="K60" s="24" t="n"/>
      <c r="L60" s="24" t="n"/>
      <c r="M60" s="24" t="n"/>
      <c r="N60" s="21" t="n"/>
      <c r="O60" s="24" t="n"/>
      <c r="P60" s="19" t="n"/>
      <c r="Q60" s="20" t="n"/>
      <c r="R60" s="23" t="n"/>
      <c r="S60" s="23" t="n"/>
      <c r="T60" s="21" t="n"/>
      <c r="U60" s="21" t="n"/>
      <c r="V60" s="21" t="n"/>
      <c r="W60" s="21" t="n"/>
      <c r="X60" s="21" t="n"/>
      <c r="Y60" s="25">
        <f>IF($C60="","",IF(E60="XAUUSD",0.1,IF(ISNUMBER(SEARCH("JPY",E60)),0.01,0.0001)))</f>
        <v/>
      </c>
      <c r="Z60" s="18">
        <f>IF($C60="","",IF(F60="Sell",-1,1))</f>
        <v/>
      </c>
      <c r="AA60" s="18">
        <f>IF($C60="","",IF(E60="XAUUSD",100,100000))</f>
        <v/>
      </c>
      <c r="AB60" s="26">
        <f>IF(OR(K60="",L60=""),"",ABS(K60-L60)/Y60)</f>
        <v/>
      </c>
      <c r="AC60" s="26">
        <f>IF(OR(K60="",M60=""),"",ABS(M60-K60)/Y60)</f>
        <v/>
      </c>
      <c r="AD60" s="26">
        <f>IF(OR(K60="",O60=""),"",(O60-K60)*Z60/Y60)</f>
        <v/>
      </c>
      <c r="AE60" s="27">
        <f>IF(OR(AB60="",AB60=0,AC60=""),"",AC60/AB60)</f>
        <v/>
      </c>
      <c r="AF60" s="27">
        <f>IF(OR(AB60="",AB60=0,AD60=""),"",AD60/AB60)</f>
        <v/>
      </c>
      <c r="AG60" s="27">
        <f>IF(OR(C60="",P60=""),"",((P60+IF(Q60="",0,Q60))-(C60+IF(D60="",0,D60)))*24)</f>
        <v/>
      </c>
      <c r="AH60" s="18">
        <f>IF(AG60="","",INT(AG60/24)&amp;"d "&amp;INT(MOD(AG60,24))&amp;"h "&amp;INT(MOD(AG60*60,60))&amp;"m")</f>
        <v/>
      </c>
      <c r="AI60" s="28">
        <f>IF(OR(O60="",K60="",H60=""),"",IF(OR(E60="XAUUSD",RIGHT(E60,3)="USD"),(O60-K60)*Z60*AA60*H60,IF(LEFT(E60,3)="USD",IF(O60=0,"",(O60-K60)*Z60*AA60*H60/O60),AD60*10*H60)))</f>
        <v/>
      </c>
      <c r="AJ60" s="28">
        <f>IF(O60="","",IF(S60="",IF(AI60="",0,AI60),S60)-IF(R60="",0,R60))</f>
        <v/>
      </c>
      <c r="AK60" s="18">
        <f>IF(C60="","",IF(OR(O60="",P60=""),"Open",IF(ABS(AJ60)&lt;=BEThreshold,"BE",IF(AJ60&gt;0,"Win","Loss"))))</f>
        <v/>
      </c>
      <c r="AL60" s="28">
        <f>IF(OR(C60="",AK60="Open"),"",InitialCapital+SUMIFS($AJ$2:AJ60,$AK$2:AK60,"&lt;&gt;Open"))</f>
        <v/>
      </c>
      <c r="AM60" s="18">
        <f>IF(OR(C60="",AK60=""),"",IF(AK60="Open","No","Yes"))</f>
        <v/>
      </c>
    </row>
    <row r="61" ht="18" customHeight="1">
      <c r="A61" s="18">
        <f>IF(C61="","",COUNTA($C$2:C61))</f>
        <v/>
      </c>
      <c r="B61" s="18">
        <f>IF(C61="","",TEXT(C61,"dddd"))</f>
        <v/>
      </c>
      <c r="C61" s="19" t="n"/>
      <c r="D61" s="20" t="n"/>
      <c r="E61" s="21" t="n"/>
      <c r="F61" s="21" t="n"/>
      <c r="G61" s="21" t="n"/>
      <c r="H61" s="22" t="n"/>
      <c r="I61" s="23" t="n"/>
      <c r="J61" s="22" t="n"/>
      <c r="K61" s="24" t="n"/>
      <c r="L61" s="24" t="n"/>
      <c r="M61" s="24" t="n"/>
      <c r="N61" s="21" t="n"/>
      <c r="O61" s="24" t="n"/>
      <c r="P61" s="19" t="n"/>
      <c r="Q61" s="20" t="n"/>
      <c r="R61" s="23" t="n"/>
      <c r="S61" s="23" t="n"/>
      <c r="T61" s="21" t="n"/>
      <c r="U61" s="21" t="n"/>
      <c r="V61" s="21" t="n"/>
      <c r="W61" s="21" t="n"/>
      <c r="X61" s="21" t="n"/>
      <c r="Y61" s="25">
        <f>IF($C61="","",IF(E61="XAUUSD",0.1,IF(ISNUMBER(SEARCH("JPY",E61)),0.01,0.0001)))</f>
        <v/>
      </c>
      <c r="Z61" s="18">
        <f>IF($C61="","",IF(F61="Sell",-1,1))</f>
        <v/>
      </c>
      <c r="AA61" s="18">
        <f>IF($C61="","",IF(E61="XAUUSD",100,100000))</f>
        <v/>
      </c>
      <c r="AB61" s="26">
        <f>IF(OR(K61="",L61=""),"",ABS(K61-L61)/Y61)</f>
        <v/>
      </c>
      <c r="AC61" s="26">
        <f>IF(OR(K61="",M61=""),"",ABS(M61-K61)/Y61)</f>
        <v/>
      </c>
      <c r="AD61" s="26">
        <f>IF(OR(K61="",O61=""),"",(O61-K61)*Z61/Y61)</f>
        <v/>
      </c>
      <c r="AE61" s="27">
        <f>IF(OR(AB61="",AB61=0,AC61=""),"",AC61/AB61)</f>
        <v/>
      </c>
      <c r="AF61" s="27">
        <f>IF(OR(AB61="",AB61=0,AD61=""),"",AD61/AB61)</f>
        <v/>
      </c>
      <c r="AG61" s="27">
        <f>IF(OR(C61="",P61=""),"",((P61+IF(Q61="",0,Q61))-(C61+IF(D61="",0,D61)))*24)</f>
        <v/>
      </c>
      <c r="AH61" s="18">
        <f>IF(AG61="","",INT(AG61/24)&amp;"d "&amp;INT(MOD(AG61,24))&amp;"h "&amp;INT(MOD(AG61*60,60))&amp;"m")</f>
        <v/>
      </c>
      <c r="AI61" s="28">
        <f>IF(OR(O61="",K61="",H61=""),"",IF(OR(E61="XAUUSD",RIGHT(E61,3)="USD"),(O61-K61)*Z61*AA61*H61,IF(LEFT(E61,3)="USD",IF(O61=0,"",(O61-K61)*Z61*AA61*H61/O61),AD61*10*H61)))</f>
        <v/>
      </c>
      <c r="AJ61" s="28">
        <f>IF(O61="","",IF(S61="",IF(AI61="",0,AI61),S61)-IF(R61="",0,R61))</f>
        <v/>
      </c>
      <c r="AK61" s="18">
        <f>IF(C61="","",IF(OR(O61="",P61=""),"Open",IF(ABS(AJ61)&lt;=BEThreshold,"BE",IF(AJ61&gt;0,"Win","Loss"))))</f>
        <v/>
      </c>
      <c r="AL61" s="28">
        <f>IF(OR(C61="",AK61="Open"),"",InitialCapital+SUMIFS($AJ$2:AJ61,$AK$2:AK61,"&lt;&gt;Open"))</f>
        <v/>
      </c>
      <c r="AM61" s="18">
        <f>IF(OR(C61="",AK61=""),"",IF(AK61="Open","No","Yes"))</f>
        <v/>
      </c>
    </row>
    <row r="62" ht="18" customHeight="1">
      <c r="A62" s="18">
        <f>IF(C62="","",COUNTA($C$2:C62))</f>
        <v/>
      </c>
      <c r="B62" s="18">
        <f>IF(C62="","",TEXT(C62,"dddd"))</f>
        <v/>
      </c>
      <c r="C62" s="19" t="n"/>
      <c r="D62" s="20" t="n"/>
      <c r="E62" s="21" t="n"/>
      <c r="F62" s="21" t="n"/>
      <c r="G62" s="21" t="n"/>
      <c r="H62" s="22" t="n"/>
      <c r="I62" s="23" t="n"/>
      <c r="J62" s="22" t="n"/>
      <c r="K62" s="24" t="n"/>
      <c r="L62" s="24" t="n"/>
      <c r="M62" s="24" t="n"/>
      <c r="N62" s="21" t="n"/>
      <c r="O62" s="24" t="n"/>
      <c r="P62" s="19" t="n"/>
      <c r="Q62" s="20" t="n"/>
      <c r="R62" s="23" t="n"/>
      <c r="S62" s="23" t="n"/>
      <c r="T62" s="21" t="n"/>
      <c r="U62" s="21" t="n"/>
      <c r="V62" s="21" t="n"/>
      <c r="W62" s="21" t="n"/>
      <c r="X62" s="21" t="n"/>
      <c r="Y62" s="25">
        <f>IF($C62="","",IF(E62="XAUUSD",0.1,IF(ISNUMBER(SEARCH("JPY",E62)),0.01,0.0001)))</f>
        <v/>
      </c>
      <c r="Z62" s="18">
        <f>IF($C62="","",IF(F62="Sell",-1,1))</f>
        <v/>
      </c>
      <c r="AA62" s="18">
        <f>IF($C62="","",IF(E62="XAUUSD",100,100000))</f>
        <v/>
      </c>
      <c r="AB62" s="26">
        <f>IF(OR(K62="",L62=""),"",ABS(K62-L62)/Y62)</f>
        <v/>
      </c>
      <c r="AC62" s="26">
        <f>IF(OR(K62="",M62=""),"",ABS(M62-K62)/Y62)</f>
        <v/>
      </c>
      <c r="AD62" s="26">
        <f>IF(OR(K62="",O62=""),"",(O62-K62)*Z62/Y62)</f>
        <v/>
      </c>
      <c r="AE62" s="27">
        <f>IF(OR(AB62="",AB62=0,AC62=""),"",AC62/AB62)</f>
        <v/>
      </c>
      <c r="AF62" s="27">
        <f>IF(OR(AB62="",AB62=0,AD62=""),"",AD62/AB62)</f>
        <v/>
      </c>
      <c r="AG62" s="27">
        <f>IF(OR(C62="",P62=""),"",((P62+IF(Q62="",0,Q62))-(C62+IF(D62="",0,D62)))*24)</f>
        <v/>
      </c>
      <c r="AH62" s="18">
        <f>IF(AG62="","",INT(AG62/24)&amp;"d "&amp;INT(MOD(AG62,24))&amp;"h "&amp;INT(MOD(AG62*60,60))&amp;"m")</f>
        <v/>
      </c>
      <c r="AI62" s="28">
        <f>IF(OR(O62="",K62="",H62=""),"",IF(OR(E62="XAUUSD",RIGHT(E62,3)="USD"),(O62-K62)*Z62*AA62*H62,IF(LEFT(E62,3)="USD",IF(O62=0,"",(O62-K62)*Z62*AA62*H62/O62),AD62*10*H62)))</f>
        <v/>
      </c>
      <c r="AJ62" s="28">
        <f>IF(O62="","",IF(S62="",IF(AI62="",0,AI62),S62)-IF(R62="",0,R62))</f>
        <v/>
      </c>
      <c r="AK62" s="18">
        <f>IF(C62="","",IF(OR(O62="",P62=""),"Open",IF(ABS(AJ62)&lt;=BEThreshold,"BE",IF(AJ62&gt;0,"Win","Loss"))))</f>
        <v/>
      </c>
      <c r="AL62" s="28">
        <f>IF(OR(C62="",AK62="Open"),"",InitialCapital+SUMIFS($AJ$2:AJ62,$AK$2:AK62,"&lt;&gt;Open"))</f>
        <v/>
      </c>
      <c r="AM62" s="18">
        <f>IF(OR(C62="",AK62=""),"",IF(AK62="Open","No","Yes"))</f>
        <v/>
      </c>
    </row>
    <row r="63" ht="18" customHeight="1">
      <c r="A63" s="18">
        <f>IF(C63="","",COUNTA($C$2:C63))</f>
        <v/>
      </c>
      <c r="B63" s="18">
        <f>IF(C63="","",TEXT(C63,"dddd"))</f>
        <v/>
      </c>
      <c r="C63" s="19" t="n"/>
      <c r="D63" s="20" t="n"/>
      <c r="E63" s="21" t="n"/>
      <c r="F63" s="21" t="n"/>
      <c r="G63" s="21" t="n"/>
      <c r="H63" s="22" t="n"/>
      <c r="I63" s="23" t="n"/>
      <c r="J63" s="22" t="n"/>
      <c r="K63" s="24" t="n"/>
      <c r="L63" s="24" t="n"/>
      <c r="M63" s="24" t="n"/>
      <c r="N63" s="21" t="n"/>
      <c r="O63" s="24" t="n"/>
      <c r="P63" s="19" t="n"/>
      <c r="Q63" s="20" t="n"/>
      <c r="R63" s="23" t="n"/>
      <c r="S63" s="23" t="n"/>
      <c r="T63" s="21" t="n"/>
      <c r="U63" s="21" t="n"/>
      <c r="V63" s="21" t="n"/>
      <c r="W63" s="21" t="n"/>
      <c r="X63" s="21" t="n"/>
      <c r="Y63" s="25">
        <f>IF($C63="","",IF(E63="XAUUSD",0.1,IF(ISNUMBER(SEARCH("JPY",E63)),0.01,0.0001)))</f>
        <v/>
      </c>
      <c r="Z63" s="18">
        <f>IF($C63="","",IF(F63="Sell",-1,1))</f>
        <v/>
      </c>
      <c r="AA63" s="18">
        <f>IF($C63="","",IF(E63="XAUUSD",100,100000))</f>
        <v/>
      </c>
      <c r="AB63" s="26">
        <f>IF(OR(K63="",L63=""),"",ABS(K63-L63)/Y63)</f>
        <v/>
      </c>
      <c r="AC63" s="26">
        <f>IF(OR(K63="",M63=""),"",ABS(M63-K63)/Y63)</f>
        <v/>
      </c>
      <c r="AD63" s="26">
        <f>IF(OR(K63="",O63=""),"",(O63-K63)*Z63/Y63)</f>
        <v/>
      </c>
      <c r="AE63" s="27">
        <f>IF(OR(AB63="",AB63=0,AC63=""),"",AC63/AB63)</f>
        <v/>
      </c>
      <c r="AF63" s="27">
        <f>IF(OR(AB63="",AB63=0,AD63=""),"",AD63/AB63)</f>
        <v/>
      </c>
      <c r="AG63" s="27">
        <f>IF(OR(C63="",P63=""),"",((P63+IF(Q63="",0,Q63))-(C63+IF(D63="",0,D63)))*24)</f>
        <v/>
      </c>
      <c r="AH63" s="18">
        <f>IF(AG63="","",INT(AG63/24)&amp;"d "&amp;INT(MOD(AG63,24))&amp;"h "&amp;INT(MOD(AG63*60,60))&amp;"m")</f>
        <v/>
      </c>
      <c r="AI63" s="28">
        <f>IF(OR(O63="",K63="",H63=""),"",IF(OR(E63="XAUUSD",RIGHT(E63,3)="USD"),(O63-K63)*Z63*AA63*H63,IF(LEFT(E63,3)="USD",IF(O63=0,"",(O63-K63)*Z63*AA63*H63/O63),AD63*10*H63)))</f>
        <v/>
      </c>
      <c r="AJ63" s="28">
        <f>IF(O63="","",IF(S63="",IF(AI63="",0,AI63),S63)-IF(R63="",0,R63))</f>
        <v/>
      </c>
      <c r="AK63" s="18">
        <f>IF(C63="","",IF(OR(O63="",P63=""),"Open",IF(ABS(AJ63)&lt;=BEThreshold,"BE",IF(AJ63&gt;0,"Win","Loss"))))</f>
        <v/>
      </c>
      <c r="AL63" s="28">
        <f>IF(OR(C63="",AK63="Open"),"",InitialCapital+SUMIFS($AJ$2:AJ63,$AK$2:AK63,"&lt;&gt;Open"))</f>
        <v/>
      </c>
      <c r="AM63" s="18">
        <f>IF(OR(C63="",AK63=""),"",IF(AK63="Open","No","Yes"))</f>
        <v/>
      </c>
    </row>
    <row r="64" ht="18" customHeight="1">
      <c r="A64" s="18">
        <f>IF(C64="","",COUNTA($C$2:C64))</f>
        <v/>
      </c>
      <c r="B64" s="18">
        <f>IF(C64="","",TEXT(C64,"dddd"))</f>
        <v/>
      </c>
      <c r="C64" s="19" t="n"/>
      <c r="D64" s="20" t="n"/>
      <c r="E64" s="21" t="n"/>
      <c r="F64" s="21" t="n"/>
      <c r="G64" s="21" t="n"/>
      <c r="H64" s="22" t="n"/>
      <c r="I64" s="23" t="n"/>
      <c r="J64" s="22" t="n"/>
      <c r="K64" s="24" t="n"/>
      <c r="L64" s="24" t="n"/>
      <c r="M64" s="24" t="n"/>
      <c r="N64" s="21" t="n"/>
      <c r="O64" s="24" t="n"/>
      <c r="P64" s="19" t="n"/>
      <c r="Q64" s="20" t="n"/>
      <c r="R64" s="23" t="n"/>
      <c r="S64" s="23" t="n"/>
      <c r="T64" s="21" t="n"/>
      <c r="U64" s="21" t="n"/>
      <c r="V64" s="21" t="n"/>
      <c r="W64" s="21" t="n"/>
      <c r="X64" s="21" t="n"/>
      <c r="Y64" s="25">
        <f>IF($C64="","",IF(E64="XAUUSD",0.1,IF(ISNUMBER(SEARCH("JPY",E64)),0.01,0.0001)))</f>
        <v/>
      </c>
      <c r="Z64" s="18">
        <f>IF($C64="","",IF(F64="Sell",-1,1))</f>
        <v/>
      </c>
      <c r="AA64" s="18">
        <f>IF($C64="","",IF(E64="XAUUSD",100,100000))</f>
        <v/>
      </c>
      <c r="AB64" s="26">
        <f>IF(OR(K64="",L64=""),"",ABS(K64-L64)/Y64)</f>
        <v/>
      </c>
      <c r="AC64" s="26">
        <f>IF(OR(K64="",M64=""),"",ABS(M64-K64)/Y64)</f>
        <v/>
      </c>
      <c r="AD64" s="26">
        <f>IF(OR(K64="",O64=""),"",(O64-K64)*Z64/Y64)</f>
        <v/>
      </c>
      <c r="AE64" s="27">
        <f>IF(OR(AB64="",AB64=0,AC64=""),"",AC64/AB64)</f>
        <v/>
      </c>
      <c r="AF64" s="27">
        <f>IF(OR(AB64="",AB64=0,AD64=""),"",AD64/AB64)</f>
        <v/>
      </c>
      <c r="AG64" s="27">
        <f>IF(OR(C64="",P64=""),"",((P64+IF(Q64="",0,Q64))-(C64+IF(D64="",0,D64)))*24)</f>
        <v/>
      </c>
      <c r="AH64" s="18">
        <f>IF(AG64="","",INT(AG64/24)&amp;"d "&amp;INT(MOD(AG64,24))&amp;"h "&amp;INT(MOD(AG64*60,60))&amp;"m")</f>
        <v/>
      </c>
      <c r="AI64" s="28">
        <f>IF(OR(O64="",K64="",H64=""),"",IF(OR(E64="XAUUSD",RIGHT(E64,3)="USD"),(O64-K64)*Z64*AA64*H64,IF(LEFT(E64,3)="USD",IF(O64=0,"",(O64-K64)*Z64*AA64*H64/O64),AD64*10*H64)))</f>
        <v/>
      </c>
      <c r="AJ64" s="28">
        <f>IF(O64="","",IF(S64="",IF(AI64="",0,AI64),S64)-IF(R64="",0,R64))</f>
        <v/>
      </c>
      <c r="AK64" s="18">
        <f>IF(C64="","",IF(OR(O64="",P64=""),"Open",IF(ABS(AJ64)&lt;=BEThreshold,"BE",IF(AJ64&gt;0,"Win","Loss"))))</f>
        <v/>
      </c>
      <c r="AL64" s="28">
        <f>IF(OR(C64="",AK64="Open"),"",InitialCapital+SUMIFS($AJ$2:AJ64,$AK$2:AK64,"&lt;&gt;Open"))</f>
        <v/>
      </c>
      <c r="AM64" s="18">
        <f>IF(OR(C64="",AK64=""),"",IF(AK64="Open","No","Yes"))</f>
        <v/>
      </c>
    </row>
    <row r="65" ht="18" customHeight="1">
      <c r="A65" s="18">
        <f>IF(C65="","",COUNTA($C$2:C65))</f>
        <v/>
      </c>
      <c r="B65" s="18">
        <f>IF(C65="","",TEXT(C65,"dddd"))</f>
        <v/>
      </c>
      <c r="C65" s="19" t="n"/>
      <c r="D65" s="20" t="n"/>
      <c r="E65" s="21" t="n"/>
      <c r="F65" s="21" t="n"/>
      <c r="G65" s="21" t="n"/>
      <c r="H65" s="22" t="n"/>
      <c r="I65" s="23" t="n"/>
      <c r="J65" s="22" t="n"/>
      <c r="K65" s="24" t="n"/>
      <c r="L65" s="24" t="n"/>
      <c r="M65" s="24" t="n"/>
      <c r="N65" s="21" t="n"/>
      <c r="O65" s="24" t="n"/>
      <c r="P65" s="19" t="n"/>
      <c r="Q65" s="20" t="n"/>
      <c r="R65" s="23" t="n"/>
      <c r="S65" s="23" t="n"/>
      <c r="T65" s="21" t="n"/>
      <c r="U65" s="21" t="n"/>
      <c r="V65" s="21" t="n"/>
      <c r="W65" s="21" t="n"/>
      <c r="X65" s="21" t="n"/>
      <c r="Y65" s="25">
        <f>IF($C65="","",IF(E65="XAUUSD",0.1,IF(ISNUMBER(SEARCH("JPY",E65)),0.01,0.0001)))</f>
        <v/>
      </c>
      <c r="Z65" s="18">
        <f>IF($C65="","",IF(F65="Sell",-1,1))</f>
        <v/>
      </c>
      <c r="AA65" s="18">
        <f>IF($C65="","",IF(E65="XAUUSD",100,100000))</f>
        <v/>
      </c>
      <c r="AB65" s="26">
        <f>IF(OR(K65="",L65=""),"",ABS(K65-L65)/Y65)</f>
        <v/>
      </c>
      <c r="AC65" s="26">
        <f>IF(OR(K65="",M65=""),"",ABS(M65-K65)/Y65)</f>
        <v/>
      </c>
      <c r="AD65" s="26">
        <f>IF(OR(K65="",O65=""),"",(O65-K65)*Z65/Y65)</f>
        <v/>
      </c>
      <c r="AE65" s="27">
        <f>IF(OR(AB65="",AB65=0,AC65=""),"",AC65/AB65)</f>
        <v/>
      </c>
      <c r="AF65" s="27">
        <f>IF(OR(AB65="",AB65=0,AD65=""),"",AD65/AB65)</f>
        <v/>
      </c>
      <c r="AG65" s="27">
        <f>IF(OR(C65="",P65=""),"",((P65+IF(Q65="",0,Q65))-(C65+IF(D65="",0,D65)))*24)</f>
        <v/>
      </c>
      <c r="AH65" s="18">
        <f>IF(AG65="","",INT(AG65/24)&amp;"d "&amp;INT(MOD(AG65,24))&amp;"h "&amp;INT(MOD(AG65*60,60))&amp;"m")</f>
        <v/>
      </c>
      <c r="AI65" s="28">
        <f>IF(OR(O65="",K65="",H65=""),"",IF(OR(E65="XAUUSD",RIGHT(E65,3)="USD"),(O65-K65)*Z65*AA65*H65,IF(LEFT(E65,3)="USD",IF(O65=0,"",(O65-K65)*Z65*AA65*H65/O65),AD65*10*H65)))</f>
        <v/>
      </c>
      <c r="AJ65" s="28">
        <f>IF(O65="","",IF(S65="",IF(AI65="",0,AI65),S65)-IF(R65="",0,R65))</f>
        <v/>
      </c>
      <c r="AK65" s="18">
        <f>IF(C65="","",IF(OR(O65="",P65=""),"Open",IF(ABS(AJ65)&lt;=BEThreshold,"BE",IF(AJ65&gt;0,"Win","Loss"))))</f>
        <v/>
      </c>
      <c r="AL65" s="28">
        <f>IF(OR(C65="",AK65="Open"),"",InitialCapital+SUMIFS($AJ$2:AJ65,$AK$2:AK65,"&lt;&gt;Open"))</f>
        <v/>
      </c>
      <c r="AM65" s="18">
        <f>IF(OR(C65="",AK65=""),"",IF(AK65="Open","No","Yes"))</f>
        <v/>
      </c>
    </row>
    <row r="66" ht="18" customHeight="1">
      <c r="A66" s="18">
        <f>IF(C66="","",COUNTA($C$2:C66))</f>
        <v/>
      </c>
      <c r="B66" s="18">
        <f>IF(C66="","",TEXT(C66,"dddd"))</f>
        <v/>
      </c>
      <c r="C66" s="19" t="n"/>
      <c r="D66" s="20" t="n"/>
      <c r="E66" s="21" t="n"/>
      <c r="F66" s="21" t="n"/>
      <c r="G66" s="21" t="n"/>
      <c r="H66" s="22" t="n"/>
      <c r="I66" s="23" t="n"/>
      <c r="J66" s="22" t="n"/>
      <c r="K66" s="24" t="n"/>
      <c r="L66" s="24" t="n"/>
      <c r="M66" s="24" t="n"/>
      <c r="N66" s="21" t="n"/>
      <c r="O66" s="24" t="n"/>
      <c r="P66" s="19" t="n"/>
      <c r="Q66" s="20" t="n"/>
      <c r="R66" s="23" t="n"/>
      <c r="S66" s="23" t="n"/>
      <c r="T66" s="21" t="n"/>
      <c r="U66" s="21" t="n"/>
      <c r="V66" s="21" t="n"/>
      <c r="W66" s="21" t="n"/>
      <c r="X66" s="21" t="n"/>
      <c r="Y66" s="25">
        <f>IF($C66="","",IF(E66="XAUUSD",0.1,IF(ISNUMBER(SEARCH("JPY",E66)),0.01,0.0001)))</f>
        <v/>
      </c>
      <c r="Z66" s="18">
        <f>IF($C66="","",IF(F66="Sell",-1,1))</f>
        <v/>
      </c>
      <c r="AA66" s="18">
        <f>IF($C66="","",IF(E66="XAUUSD",100,100000))</f>
        <v/>
      </c>
      <c r="AB66" s="26">
        <f>IF(OR(K66="",L66=""),"",ABS(K66-L66)/Y66)</f>
        <v/>
      </c>
      <c r="AC66" s="26">
        <f>IF(OR(K66="",M66=""),"",ABS(M66-K66)/Y66)</f>
        <v/>
      </c>
      <c r="AD66" s="26">
        <f>IF(OR(K66="",O66=""),"",(O66-K66)*Z66/Y66)</f>
        <v/>
      </c>
      <c r="AE66" s="27">
        <f>IF(OR(AB66="",AB66=0,AC66=""),"",AC66/AB66)</f>
        <v/>
      </c>
      <c r="AF66" s="27">
        <f>IF(OR(AB66="",AB66=0,AD66=""),"",AD66/AB66)</f>
        <v/>
      </c>
      <c r="AG66" s="27">
        <f>IF(OR(C66="",P66=""),"",((P66+IF(Q66="",0,Q66))-(C66+IF(D66="",0,D66)))*24)</f>
        <v/>
      </c>
      <c r="AH66" s="18">
        <f>IF(AG66="","",INT(AG66/24)&amp;"d "&amp;INT(MOD(AG66,24))&amp;"h "&amp;INT(MOD(AG66*60,60))&amp;"m")</f>
        <v/>
      </c>
      <c r="AI66" s="28">
        <f>IF(OR(O66="",K66="",H66=""),"",IF(OR(E66="XAUUSD",RIGHT(E66,3)="USD"),(O66-K66)*Z66*AA66*H66,IF(LEFT(E66,3)="USD",IF(O66=0,"",(O66-K66)*Z66*AA66*H66/O66),AD66*10*H66)))</f>
        <v/>
      </c>
      <c r="AJ66" s="28">
        <f>IF(O66="","",IF(S66="",IF(AI66="",0,AI66),S66)-IF(R66="",0,R66))</f>
        <v/>
      </c>
      <c r="AK66" s="18">
        <f>IF(C66="","",IF(OR(O66="",P66=""),"Open",IF(ABS(AJ66)&lt;=BEThreshold,"BE",IF(AJ66&gt;0,"Win","Loss"))))</f>
        <v/>
      </c>
      <c r="AL66" s="28">
        <f>IF(OR(C66="",AK66="Open"),"",InitialCapital+SUMIFS($AJ$2:AJ66,$AK$2:AK66,"&lt;&gt;Open"))</f>
        <v/>
      </c>
      <c r="AM66" s="18">
        <f>IF(OR(C66="",AK66=""),"",IF(AK66="Open","No","Yes"))</f>
        <v/>
      </c>
    </row>
    <row r="67" ht="18" customHeight="1">
      <c r="A67" s="18">
        <f>IF(C67="","",COUNTA($C$2:C67))</f>
        <v/>
      </c>
      <c r="B67" s="18">
        <f>IF(C67="","",TEXT(C67,"dddd"))</f>
        <v/>
      </c>
      <c r="C67" s="19" t="n"/>
      <c r="D67" s="20" t="n"/>
      <c r="E67" s="21" t="n"/>
      <c r="F67" s="21" t="n"/>
      <c r="G67" s="21" t="n"/>
      <c r="H67" s="22" t="n"/>
      <c r="I67" s="23" t="n"/>
      <c r="J67" s="22" t="n"/>
      <c r="K67" s="24" t="n"/>
      <c r="L67" s="24" t="n"/>
      <c r="M67" s="24" t="n"/>
      <c r="N67" s="21" t="n"/>
      <c r="O67" s="24" t="n"/>
      <c r="P67" s="19" t="n"/>
      <c r="Q67" s="20" t="n"/>
      <c r="R67" s="23" t="n"/>
      <c r="S67" s="23" t="n"/>
      <c r="T67" s="21" t="n"/>
      <c r="U67" s="21" t="n"/>
      <c r="V67" s="21" t="n"/>
      <c r="W67" s="21" t="n"/>
      <c r="X67" s="21" t="n"/>
      <c r="Y67" s="25">
        <f>IF($C67="","",IF(E67="XAUUSD",0.1,IF(ISNUMBER(SEARCH("JPY",E67)),0.01,0.0001)))</f>
        <v/>
      </c>
      <c r="Z67" s="18">
        <f>IF($C67="","",IF(F67="Sell",-1,1))</f>
        <v/>
      </c>
      <c r="AA67" s="18">
        <f>IF($C67="","",IF(E67="XAUUSD",100,100000))</f>
        <v/>
      </c>
      <c r="AB67" s="26">
        <f>IF(OR(K67="",L67=""),"",ABS(K67-L67)/Y67)</f>
        <v/>
      </c>
      <c r="AC67" s="26">
        <f>IF(OR(K67="",M67=""),"",ABS(M67-K67)/Y67)</f>
        <v/>
      </c>
      <c r="AD67" s="26">
        <f>IF(OR(K67="",O67=""),"",(O67-K67)*Z67/Y67)</f>
        <v/>
      </c>
      <c r="AE67" s="27">
        <f>IF(OR(AB67="",AB67=0,AC67=""),"",AC67/AB67)</f>
        <v/>
      </c>
      <c r="AF67" s="27">
        <f>IF(OR(AB67="",AB67=0,AD67=""),"",AD67/AB67)</f>
        <v/>
      </c>
      <c r="AG67" s="27">
        <f>IF(OR(C67="",P67=""),"",((P67+IF(Q67="",0,Q67))-(C67+IF(D67="",0,D67)))*24)</f>
        <v/>
      </c>
      <c r="AH67" s="18">
        <f>IF(AG67="","",INT(AG67/24)&amp;"d "&amp;INT(MOD(AG67,24))&amp;"h "&amp;INT(MOD(AG67*60,60))&amp;"m")</f>
        <v/>
      </c>
      <c r="AI67" s="28">
        <f>IF(OR(O67="",K67="",H67=""),"",IF(OR(E67="XAUUSD",RIGHT(E67,3)="USD"),(O67-K67)*Z67*AA67*H67,IF(LEFT(E67,3)="USD",IF(O67=0,"",(O67-K67)*Z67*AA67*H67/O67),AD67*10*H67)))</f>
        <v/>
      </c>
      <c r="AJ67" s="28">
        <f>IF(O67="","",IF(S67="",IF(AI67="",0,AI67),S67)-IF(R67="",0,R67))</f>
        <v/>
      </c>
      <c r="AK67" s="18">
        <f>IF(C67="","",IF(OR(O67="",P67=""),"Open",IF(ABS(AJ67)&lt;=BEThreshold,"BE",IF(AJ67&gt;0,"Win","Loss"))))</f>
        <v/>
      </c>
      <c r="AL67" s="28">
        <f>IF(OR(C67="",AK67="Open"),"",InitialCapital+SUMIFS($AJ$2:AJ67,$AK$2:AK67,"&lt;&gt;Open"))</f>
        <v/>
      </c>
      <c r="AM67" s="18">
        <f>IF(OR(C67="",AK67=""),"",IF(AK67="Open","No","Yes"))</f>
        <v/>
      </c>
    </row>
    <row r="68" ht="18" customHeight="1">
      <c r="A68" s="18">
        <f>IF(C68="","",COUNTA($C$2:C68))</f>
        <v/>
      </c>
      <c r="B68" s="18">
        <f>IF(C68="","",TEXT(C68,"dddd"))</f>
        <v/>
      </c>
      <c r="C68" s="19" t="n"/>
      <c r="D68" s="20" t="n"/>
      <c r="E68" s="21" t="n"/>
      <c r="F68" s="21" t="n"/>
      <c r="G68" s="21" t="n"/>
      <c r="H68" s="22" t="n"/>
      <c r="I68" s="23" t="n"/>
      <c r="J68" s="22" t="n"/>
      <c r="K68" s="24" t="n"/>
      <c r="L68" s="24" t="n"/>
      <c r="M68" s="24" t="n"/>
      <c r="N68" s="21" t="n"/>
      <c r="O68" s="24" t="n"/>
      <c r="P68" s="19" t="n"/>
      <c r="Q68" s="20" t="n"/>
      <c r="R68" s="23" t="n"/>
      <c r="S68" s="23" t="n"/>
      <c r="T68" s="21" t="n"/>
      <c r="U68" s="21" t="n"/>
      <c r="V68" s="21" t="n"/>
      <c r="W68" s="21" t="n"/>
      <c r="X68" s="21" t="n"/>
      <c r="Y68" s="25">
        <f>IF($C68="","",IF(E68="XAUUSD",0.1,IF(ISNUMBER(SEARCH("JPY",E68)),0.01,0.0001)))</f>
        <v/>
      </c>
      <c r="Z68" s="18">
        <f>IF($C68="","",IF(F68="Sell",-1,1))</f>
        <v/>
      </c>
      <c r="AA68" s="18">
        <f>IF($C68="","",IF(E68="XAUUSD",100,100000))</f>
        <v/>
      </c>
      <c r="AB68" s="26">
        <f>IF(OR(K68="",L68=""),"",ABS(K68-L68)/Y68)</f>
        <v/>
      </c>
      <c r="AC68" s="26">
        <f>IF(OR(K68="",M68=""),"",ABS(M68-K68)/Y68)</f>
        <v/>
      </c>
      <c r="AD68" s="26">
        <f>IF(OR(K68="",O68=""),"",(O68-K68)*Z68/Y68)</f>
        <v/>
      </c>
      <c r="AE68" s="27">
        <f>IF(OR(AB68="",AB68=0,AC68=""),"",AC68/AB68)</f>
        <v/>
      </c>
      <c r="AF68" s="27">
        <f>IF(OR(AB68="",AB68=0,AD68=""),"",AD68/AB68)</f>
        <v/>
      </c>
      <c r="AG68" s="27">
        <f>IF(OR(C68="",P68=""),"",((P68+IF(Q68="",0,Q68))-(C68+IF(D68="",0,D68)))*24)</f>
        <v/>
      </c>
      <c r="AH68" s="18">
        <f>IF(AG68="","",INT(AG68/24)&amp;"d "&amp;INT(MOD(AG68,24))&amp;"h "&amp;INT(MOD(AG68*60,60))&amp;"m")</f>
        <v/>
      </c>
      <c r="AI68" s="28">
        <f>IF(OR(O68="",K68="",H68=""),"",IF(OR(E68="XAUUSD",RIGHT(E68,3)="USD"),(O68-K68)*Z68*AA68*H68,IF(LEFT(E68,3)="USD",IF(O68=0,"",(O68-K68)*Z68*AA68*H68/O68),AD68*10*H68)))</f>
        <v/>
      </c>
      <c r="AJ68" s="28">
        <f>IF(O68="","",IF(S68="",IF(AI68="",0,AI68),S68)-IF(R68="",0,R68))</f>
        <v/>
      </c>
      <c r="AK68" s="18">
        <f>IF(C68="","",IF(OR(O68="",P68=""),"Open",IF(ABS(AJ68)&lt;=BEThreshold,"BE",IF(AJ68&gt;0,"Win","Loss"))))</f>
        <v/>
      </c>
      <c r="AL68" s="28">
        <f>IF(OR(C68="",AK68="Open"),"",InitialCapital+SUMIFS($AJ$2:AJ68,$AK$2:AK68,"&lt;&gt;Open"))</f>
        <v/>
      </c>
      <c r="AM68" s="18">
        <f>IF(OR(C68="",AK68=""),"",IF(AK68="Open","No","Yes"))</f>
        <v/>
      </c>
    </row>
    <row r="69" ht="18" customHeight="1">
      <c r="A69" s="18">
        <f>IF(C69="","",COUNTA($C$2:C69))</f>
        <v/>
      </c>
      <c r="B69" s="18">
        <f>IF(C69="","",TEXT(C69,"dddd"))</f>
        <v/>
      </c>
      <c r="C69" s="19" t="n"/>
      <c r="D69" s="20" t="n"/>
      <c r="E69" s="21" t="n"/>
      <c r="F69" s="21" t="n"/>
      <c r="G69" s="21" t="n"/>
      <c r="H69" s="22" t="n"/>
      <c r="I69" s="23" t="n"/>
      <c r="J69" s="22" t="n"/>
      <c r="K69" s="24" t="n"/>
      <c r="L69" s="24" t="n"/>
      <c r="M69" s="24" t="n"/>
      <c r="N69" s="21" t="n"/>
      <c r="O69" s="24" t="n"/>
      <c r="P69" s="19" t="n"/>
      <c r="Q69" s="20" t="n"/>
      <c r="R69" s="23" t="n"/>
      <c r="S69" s="23" t="n"/>
      <c r="T69" s="21" t="n"/>
      <c r="U69" s="21" t="n"/>
      <c r="V69" s="21" t="n"/>
      <c r="W69" s="21" t="n"/>
      <c r="X69" s="21" t="n"/>
      <c r="Y69" s="25">
        <f>IF($C69="","",IF(E69="XAUUSD",0.1,IF(ISNUMBER(SEARCH("JPY",E69)),0.01,0.0001)))</f>
        <v/>
      </c>
      <c r="Z69" s="18">
        <f>IF($C69="","",IF(F69="Sell",-1,1))</f>
        <v/>
      </c>
      <c r="AA69" s="18">
        <f>IF($C69="","",IF(E69="XAUUSD",100,100000))</f>
        <v/>
      </c>
      <c r="AB69" s="26">
        <f>IF(OR(K69="",L69=""),"",ABS(K69-L69)/Y69)</f>
        <v/>
      </c>
      <c r="AC69" s="26">
        <f>IF(OR(K69="",M69=""),"",ABS(M69-K69)/Y69)</f>
        <v/>
      </c>
      <c r="AD69" s="26">
        <f>IF(OR(K69="",O69=""),"",(O69-K69)*Z69/Y69)</f>
        <v/>
      </c>
      <c r="AE69" s="27">
        <f>IF(OR(AB69="",AB69=0,AC69=""),"",AC69/AB69)</f>
        <v/>
      </c>
      <c r="AF69" s="27">
        <f>IF(OR(AB69="",AB69=0,AD69=""),"",AD69/AB69)</f>
        <v/>
      </c>
      <c r="AG69" s="27">
        <f>IF(OR(C69="",P69=""),"",((P69+IF(Q69="",0,Q69))-(C69+IF(D69="",0,D69)))*24)</f>
        <v/>
      </c>
      <c r="AH69" s="18">
        <f>IF(AG69="","",INT(AG69/24)&amp;"d "&amp;INT(MOD(AG69,24))&amp;"h "&amp;INT(MOD(AG69*60,60))&amp;"m")</f>
        <v/>
      </c>
      <c r="AI69" s="28">
        <f>IF(OR(O69="",K69="",H69=""),"",IF(OR(E69="XAUUSD",RIGHT(E69,3)="USD"),(O69-K69)*Z69*AA69*H69,IF(LEFT(E69,3)="USD",IF(O69=0,"",(O69-K69)*Z69*AA69*H69/O69),AD69*10*H69)))</f>
        <v/>
      </c>
      <c r="AJ69" s="28">
        <f>IF(O69="","",IF(S69="",IF(AI69="",0,AI69),S69)-IF(R69="",0,R69))</f>
        <v/>
      </c>
      <c r="AK69" s="18">
        <f>IF(C69="","",IF(OR(O69="",P69=""),"Open",IF(ABS(AJ69)&lt;=BEThreshold,"BE",IF(AJ69&gt;0,"Win","Loss"))))</f>
        <v/>
      </c>
      <c r="AL69" s="28">
        <f>IF(OR(C69="",AK69="Open"),"",InitialCapital+SUMIFS($AJ$2:AJ69,$AK$2:AK69,"&lt;&gt;Open"))</f>
        <v/>
      </c>
      <c r="AM69" s="18">
        <f>IF(OR(C69="",AK69=""),"",IF(AK69="Open","No","Yes"))</f>
        <v/>
      </c>
    </row>
    <row r="70" ht="18" customHeight="1">
      <c r="A70" s="18">
        <f>IF(C70="","",COUNTA($C$2:C70))</f>
        <v/>
      </c>
      <c r="B70" s="18">
        <f>IF(C70="","",TEXT(C70,"dddd"))</f>
        <v/>
      </c>
      <c r="C70" s="19" t="n"/>
      <c r="D70" s="20" t="n"/>
      <c r="E70" s="21" t="n"/>
      <c r="F70" s="21" t="n"/>
      <c r="G70" s="21" t="n"/>
      <c r="H70" s="22" t="n"/>
      <c r="I70" s="23" t="n"/>
      <c r="J70" s="22" t="n"/>
      <c r="K70" s="24" t="n"/>
      <c r="L70" s="24" t="n"/>
      <c r="M70" s="24" t="n"/>
      <c r="N70" s="21" t="n"/>
      <c r="O70" s="24" t="n"/>
      <c r="P70" s="19" t="n"/>
      <c r="Q70" s="20" t="n"/>
      <c r="R70" s="23" t="n"/>
      <c r="S70" s="23" t="n"/>
      <c r="T70" s="21" t="n"/>
      <c r="U70" s="21" t="n"/>
      <c r="V70" s="21" t="n"/>
      <c r="W70" s="21" t="n"/>
      <c r="X70" s="21" t="n"/>
      <c r="Y70" s="25">
        <f>IF($C70="","",IF(E70="XAUUSD",0.1,IF(ISNUMBER(SEARCH("JPY",E70)),0.01,0.0001)))</f>
        <v/>
      </c>
      <c r="Z70" s="18">
        <f>IF($C70="","",IF(F70="Sell",-1,1))</f>
        <v/>
      </c>
      <c r="AA70" s="18">
        <f>IF($C70="","",IF(E70="XAUUSD",100,100000))</f>
        <v/>
      </c>
      <c r="AB70" s="26">
        <f>IF(OR(K70="",L70=""),"",ABS(K70-L70)/Y70)</f>
        <v/>
      </c>
      <c r="AC70" s="26">
        <f>IF(OR(K70="",M70=""),"",ABS(M70-K70)/Y70)</f>
        <v/>
      </c>
      <c r="AD70" s="26">
        <f>IF(OR(K70="",O70=""),"",(O70-K70)*Z70/Y70)</f>
        <v/>
      </c>
      <c r="AE70" s="27">
        <f>IF(OR(AB70="",AB70=0,AC70=""),"",AC70/AB70)</f>
        <v/>
      </c>
      <c r="AF70" s="27">
        <f>IF(OR(AB70="",AB70=0,AD70=""),"",AD70/AB70)</f>
        <v/>
      </c>
      <c r="AG70" s="27">
        <f>IF(OR(C70="",P70=""),"",((P70+IF(Q70="",0,Q70))-(C70+IF(D70="",0,D70)))*24)</f>
        <v/>
      </c>
      <c r="AH70" s="18">
        <f>IF(AG70="","",INT(AG70/24)&amp;"d "&amp;INT(MOD(AG70,24))&amp;"h "&amp;INT(MOD(AG70*60,60))&amp;"m")</f>
        <v/>
      </c>
      <c r="AI70" s="28">
        <f>IF(OR(O70="",K70="",H70=""),"",IF(OR(E70="XAUUSD",RIGHT(E70,3)="USD"),(O70-K70)*Z70*AA70*H70,IF(LEFT(E70,3)="USD",IF(O70=0,"",(O70-K70)*Z70*AA70*H70/O70),AD70*10*H70)))</f>
        <v/>
      </c>
      <c r="AJ70" s="28">
        <f>IF(O70="","",IF(S70="",IF(AI70="",0,AI70),S70)-IF(R70="",0,R70))</f>
        <v/>
      </c>
      <c r="AK70" s="18">
        <f>IF(C70="","",IF(OR(O70="",P70=""),"Open",IF(ABS(AJ70)&lt;=BEThreshold,"BE",IF(AJ70&gt;0,"Win","Loss"))))</f>
        <v/>
      </c>
      <c r="AL70" s="28">
        <f>IF(OR(C70="",AK70="Open"),"",InitialCapital+SUMIFS($AJ$2:AJ70,$AK$2:AK70,"&lt;&gt;Open"))</f>
        <v/>
      </c>
      <c r="AM70" s="18">
        <f>IF(OR(C70="",AK70=""),"",IF(AK70="Open","No","Yes"))</f>
        <v/>
      </c>
    </row>
    <row r="71" ht="18" customHeight="1">
      <c r="A71" s="18">
        <f>IF(C71="","",COUNTA($C$2:C71))</f>
        <v/>
      </c>
      <c r="B71" s="18">
        <f>IF(C71="","",TEXT(C71,"dddd"))</f>
        <v/>
      </c>
      <c r="C71" s="19" t="n"/>
      <c r="D71" s="20" t="n"/>
      <c r="E71" s="21" t="n"/>
      <c r="F71" s="21" t="n"/>
      <c r="G71" s="21" t="n"/>
      <c r="H71" s="22" t="n"/>
      <c r="I71" s="23" t="n"/>
      <c r="J71" s="22" t="n"/>
      <c r="K71" s="24" t="n"/>
      <c r="L71" s="24" t="n"/>
      <c r="M71" s="24" t="n"/>
      <c r="N71" s="21" t="n"/>
      <c r="O71" s="24" t="n"/>
      <c r="P71" s="19" t="n"/>
      <c r="Q71" s="20" t="n"/>
      <c r="R71" s="23" t="n"/>
      <c r="S71" s="23" t="n"/>
      <c r="T71" s="21" t="n"/>
      <c r="U71" s="21" t="n"/>
      <c r="V71" s="21" t="n"/>
      <c r="W71" s="21" t="n"/>
      <c r="X71" s="21" t="n"/>
      <c r="Y71" s="25">
        <f>IF($C71="","",IF(E71="XAUUSD",0.1,IF(ISNUMBER(SEARCH("JPY",E71)),0.01,0.0001)))</f>
        <v/>
      </c>
      <c r="Z71" s="18">
        <f>IF($C71="","",IF(F71="Sell",-1,1))</f>
        <v/>
      </c>
      <c r="AA71" s="18">
        <f>IF($C71="","",IF(E71="XAUUSD",100,100000))</f>
        <v/>
      </c>
      <c r="AB71" s="26">
        <f>IF(OR(K71="",L71=""),"",ABS(K71-L71)/Y71)</f>
        <v/>
      </c>
      <c r="AC71" s="26">
        <f>IF(OR(K71="",M71=""),"",ABS(M71-K71)/Y71)</f>
        <v/>
      </c>
      <c r="AD71" s="26">
        <f>IF(OR(K71="",O71=""),"",(O71-K71)*Z71/Y71)</f>
        <v/>
      </c>
      <c r="AE71" s="27">
        <f>IF(OR(AB71="",AB71=0,AC71=""),"",AC71/AB71)</f>
        <v/>
      </c>
      <c r="AF71" s="27">
        <f>IF(OR(AB71="",AB71=0,AD71=""),"",AD71/AB71)</f>
        <v/>
      </c>
      <c r="AG71" s="27">
        <f>IF(OR(C71="",P71=""),"",((P71+IF(Q71="",0,Q71))-(C71+IF(D71="",0,D71)))*24)</f>
        <v/>
      </c>
      <c r="AH71" s="18">
        <f>IF(AG71="","",INT(AG71/24)&amp;"d "&amp;INT(MOD(AG71,24))&amp;"h "&amp;INT(MOD(AG71*60,60))&amp;"m")</f>
        <v/>
      </c>
      <c r="AI71" s="28">
        <f>IF(OR(O71="",K71="",H71=""),"",IF(OR(E71="XAUUSD",RIGHT(E71,3)="USD"),(O71-K71)*Z71*AA71*H71,IF(LEFT(E71,3)="USD",IF(O71=0,"",(O71-K71)*Z71*AA71*H71/O71),AD71*10*H71)))</f>
        <v/>
      </c>
      <c r="AJ71" s="28">
        <f>IF(O71="","",IF(S71="",IF(AI71="",0,AI71),S71)-IF(R71="",0,R71))</f>
        <v/>
      </c>
      <c r="AK71" s="18">
        <f>IF(C71="","",IF(OR(O71="",P71=""),"Open",IF(ABS(AJ71)&lt;=BEThreshold,"BE",IF(AJ71&gt;0,"Win","Loss"))))</f>
        <v/>
      </c>
      <c r="AL71" s="28">
        <f>IF(OR(C71="",AK71="Open"),"",InitialCapital+SUMIFS($AJ$2:AJ71,$AK$2:AK71,"&lt;&gt;Open"))</f>
        <v/>
      </c>
      <c r="AM71" s="18">
        <f>IF(OR(C71="",AK71=""),"",IF(AK71="Open","No","Yes"))</f>
        <v/>
      </c>
    </row>
    <row r="72" ht="18" customHeight="1">
      <c r="A72" s="18">
        <f>IF(C72="","",COUNTA($C$2:C72))</f>
        <v/>
      </c>
      <c r="B72" s="18">
        <f>IF(C72="","",TEXT(C72,"dddd"))</f>
        <v/>
      </c>
      <c r="C72" s="19" t="n"/>
      <c r="D72" s="20" t="n"/>
      <c r="E72" s="21" t="n"/>
      <c r="F72" s="21" t="n"/>
      <c r="G72" s="21" t="n"/>
      <c r="H72" s="22" t="n"/>
      <c r="I72" s="23" t="n"/>
      <c r="J72" s="22" t="n"/>
      <c r="K72" s="24" t="n"/>
      <c r="L72" s="24" t="n"/>
      <c r="M72" s="24" t="n"/>
      <c r="N72" s="21" t="n"/>
      <c r="O72" s="24" t="n"/>
      <c r="P72" s="19" t="n"/>
      <c r="Q72" s="20" t="n"/>
      <c r="R72" s="23" t="n"/>
      <c r="S72" s="23" t="n"/>
      <c r="T72" s="21" t="n"/>
      <c r="U72" s="21" t="n"/>
      <c r="V72" s="21" t="n"/>
      <c r="W72" s="21" t="n"/>
      <c r="X72" s="21" t="n"/>
      <c r="Y72" s="25">
        <f>IF($C72="","",IF(E72="XAUUSD",0.1,IF(ISNUMBER(SEARCH("JPY",E72)),0.01,0.0001)))</f>
        <v/>
      </c>
      <c r="Z72" s="18">
        <f>IF($C72="","",IF(F72="Sell",-1,1))</f>
        <v/>
      </c>
      <c r="AA72" s="18">
        <f>IF($C72="","",IF(E72="XAUUSD",100,100000))</f>
        <v/>
      </c>
      <c r="AB72" s="26">
        <f>IF(OR(K72="",L72=""),"",ABS(K72-L72)/Y72)</f>
        <v/>
      </c>
      <c r="AC72" s="26">
        <f>IF(OR(K72="",M72=""),"",ABS(M72-K72)/Y72)</f>
        <v/>
      </c>
      <c r="AD72" s="26">
        <f>IF(OR(K72="",O72=""),"",(O72-K72)*Z72/Y72)</f>
        <v/>
      </c>
      <c r="AE72" s="27">
        <f>IF(OR(AB72="",AB72=0,AC72=""),"",AC72/AB72)</f>
        <v/>
      </c>
      <c r="AF72" s="27">
        <f>IF(OR(AB72="",AB72=0,AD72=""),"",AD72/AB72)</f>
        <v/>
      </c>
      <c r="AG72" s="27">
        <f>IF(OR(C72="",P72=""),"",((P72+IF(Q72="",0,Q72))-(C72+IF(D72="",0,D72)))*24)</f>
        <v/>
      </c>
      <c r="AH72" s="18">
        <f>IF(AG72="","",INT(AG72/24)&amp;"d "&amp;INT(MOD(AG72,24))&amp;"h "&amp;INT(MOD(AG72*60,60))&amp;"m")</f>
        <v/>
      </c>
      <c r="AI72" s="28">
        <f>IF(OR(O72="",K72="",H72=""),"",IF(OR(E72="XAUUSD",RIGHT(E72,3)="USD"),(O72-K72)*Z72*AA72*H72,IF(LEFT(E72,3)="USD",IF(O72=0,"",(O72-K72)*Z72*AA72*H72/O72),AD72*10*H72)))</f>
        <v/>
      </c>
      <c r="AJ72" s="28">
        <f>IF(O72="","",IF(S72="",IF(AI72="",0,AI72),S72)-IF(R72="",0,R72))</f>
        <v/>
      </c>
      <c r="AK72" s="18">
        <f>IF(C72="","",IF(OR(O72="",P72=""),"Open",IF(ABS(AJ72)&lt;=BEThreshold,"BE",IF(AJ72&gt;0,"Win","Loss"))))</f>
        <v/>
      </c>
      <c r="AL72" s="28">
        <f>IF(OR(C72="",AK72="Open"),"",InitialCapital+SUMIFS($AJ$2:AJ72,$AK$2:AK72,"&lt;&gt;Open"))</f>
        <v/>
      </c>
      <c r="AM72" s="18">
        <f>IF(OR(C72="",AK72=""),"",IF(AK72="Open","No","Yes"))</f>
        <v/>
      </c>
    </row>
    <row r="73" ht="18" customHeight="1">
      <c r="A73" s="18">
        <f>IF(C73="","",COUNTA($C$2:C73))</f>
        <v/>
      </c>
      <c r="B73" s="18">
        <f>IF(C73="","",TEXT(C73,"dddd"))</f>
        <v/>
      </c>
      <c r="C73" s="19" t="n"/>
      <c r="D73" s="20" t="n"/>
      <c r="E73" s="21" t="n"/>
      <c r="F73" s="21" t="n"/>
      <c r="G73" s="21" t="n"/>
      <c r="H73" s="22" t="n"/>
      <c r="I73" s="23" t="n"/>
      <c r="J73" s="22" t="n"/>
      <c r="K73" s="24" t="n"/>
      <c r="L73" s="24" t="n"/>
      <c r="M73" s="24" t="n"/>
      <c r="N73" s="21" t="n"/>
      <c r="O73" s="24" t="n"/>
      <c r="P73" s="19" t="n"/>
      <c r="Q73" s="20" t="n"/>
      <c r="R73" s="23" t="n"/>
      <c r="S73" s="23" t="n"/>
      <c r="T73" s="21" t="n"/>
      <c r="U73" s="21" t="n"/>
      <c r="V73" s="21" t="n"/>
      <c r="W73" s="21" t="n"/>
      <c r="X73" s="21" t="n"/>
      <c r="Y73" s="25">
        <f>IF($C73="","",IF(E73="XAUUSD",0.1,IF(ISNUMBER(SEARCH("JPY",E73)),0.01,0.0001)))</f>
        <v/>
      </c>
      <c r="Z73" s="18">
        <f>IF($C73="","",IF(F73="Sell",-1,1))</f>
        <v/>
      </c>
      <c r="AA73" s="18">
        <f>IF($C73="","",IF(E73="XAUUSD",100,100000))</f>
        <v/>
      </c>
      <c r="AB73" s="26">
        <f>IF(OR(K73="",L73=""),"",ABS(K73-L73)/Y73)</f>
        <v/>
      </c>
      <c r="AC73" s="26">
        <f>IF(OR(K73="",M73=""),"",ABS(M73-K73)/Y73)</f>
        <v/>
      </c>
      <c r="AD73" s="26">
        <f>IF(OR(K73="",O73=""),"",(O73-K73)*Z73/Y73)</f>
        <v/>
      </c>
      <c r="AE73" s="27">
        <f>IF(OR(AB73="",AB73=0,AC73=""),"",AC73/AB73)</f>
        <v/>
      </c>
      <c r="AF73" s="27">
        <f>IF(OR(AB73="",AB73=0,AD73=""),"",AD73/AB73)</f>
        <v/>
      </c>
      <c r="AG73" s="27">
        <f>IF(OR(C73="",P73=""),"",((P73+IF(Q73="",0,Q73))-(C73+IF(D73="",0,D73)))*24)</f>
        <v/>
      </c>
      <c r="AH73" s="18">
        <f>IF(AG73="","",INT(AG73/24)&amp;"d "&amp;INT(MOD(AG73,24))&amp;"h "&amp;INT(MOD(AG73*60,60))&amp;"m")</f>
        <v/>
      </c>
      <c r="AI73" s="28">
        <f>IF(OR(O73="",K73="",H73=""),"",IF(OR(E73="XAUUSD",RIGHT(E73,3)="USD"),(O73-K73)*Z73*AA73*H73,IF(LEFT(E73,3)="USD",IF(O73=0,"",(O73-K73)*Z73*AA73*H73/O73),AD73*10*H73)))</f>
        <v/>
      </c>
      <c r="AJ73" s="28">
        <f>IF(O73="","",IF(S73="",IF(AI73="",0,AI73),S73)-IF(R73="",0,R73))</f>
        <v/>
      </c>
      <c r="AK73" s="18">
        <f>IF(C73="","",IF(OR(O73="",P73=""),"Open",IF(ABS(AJ73)&lt;=BEThreshold,"BE",IF(AJ73&gt;0,"Win","Loss"))))</f>
        <v/>
      </c>
      <c r="AL73" s="28">
        <f>IF(OR(C73="",AK73="Open"),"",InitialCapital+SUMIFS($AJ$2:AJ73,$AK$2:AK73,"&lt;&gt;Open"))</f>
        <v/>
      </c>
      <c r="AM73" s="18">
        <f>IF(OR(C73="",AK73=""),"",IF(AK73="Open","No","Yes"))</f>
        <v/>
      </c>
    </row>
    <row r="74" ht="18" customHeight="1">
      <c r="A74" s="18">
        <f>IF(C74="","",COUNTA($C$2:C74))</f>
        <v/>
      </c>
      <c r="B74" s="18">
        <f>IF(C74="","",TEXT(C74,"dddd"))</f>
        <v/>
      </c>
      <c r="C74" s="19" t="n"/>
      <c r="D74" s="20" t="n"/>
      <c r="E74" s="21" t="n"/>
      <c r="F74" s="21" t="n"/>
      <c r="G74" s="21" t="n"/>
      <c r="H74" s="22" t="n"/>
      <c r="I74" s="23" t="n"/>
      <c r="J74" s="22" t="n"/>
      <c r="K74" s="24" t="n"/>
      <c r="L74" s="24" t="n"/>
      <c r="M74" s="24" t="n"/>
      <c r="N74" s="21" t="n"/>
      <c r="O74" s="24" t="n"/>
      <c r="P74" s="19" t="n"/>
      <c r="Q74" s="20" t="n"/>
      <c r="R74" s="23" t="n"/>
      <c r="S74" s="23" t="n"/>
      <c r="T74" s="21" t="n"/>
      <c r="U74" s="21" t="n"/>
      <c r="V74" s="21" t="n"/>
      <c r="W74" s="21" t="n"/>
      <c r="X74" s="21" t="n"/>
      <c r="Y74" s="25">
        <f>IF($C74="","",IF(E74="XAUUSD",0.1,IF(ISNUMBER(SEARCH("JPY",E74)),0.01,0.0001)))</f>
        <v/>
      </c>
      <c r="Z74" s="18">
        <f>IF($C74="","",IF(F74="Sell",-1,1))</f>
        <v/>
      </c>
      <c r="AA74" s="18">
        <f>IF($C74="","",IF(E74="XAUUSD",100,100000))</f>
        <v/>
      </c>
      <c r="AB74" s="26">
        <f>IF(OR(K74="",L74=""),"",ABS(K74-L74)/Y74)</f>
        <v/>
      </c>
      <c r="AC74" s="26">
        <f>IF(OR(K74="",M74=""),"",ABS(M74-K74)/Y74)</f>
        <v/>
      </c>
      <c r="AD74" s="26">
        <f>IF(OR(K74="",O74=""),"",(O74-K74)*Z74/Y74)</f>
        <v/>
      </c>
      <c r="AE74" s="27">
        <f>IF(OR(AB74="",AB74=0,AC74=""),"",AC74/AB74)</f>
        <v/>
      </c>
      <c r="AF74" s="27">
        <f>IF(OR(AB74="",AB74=0,AD74=""),"",AD74/AB74)</f>
        <v/>
      </c>
      <c r="AG74" s="27">
        <f>IF(OR(C74="",P74=""),"",((P74+IF(Q74="",0,Q74))-(C74+IF(D74="",0,D74)))*24)</f>
        <v/>
      </c>
      <c r="AH74" s="18">
        <f>IF(AG74="","",INT(AG74/24)&amp;"d "&amp;INT(MOD(AG74,24))&amp;"h "&amp;INT(MOD(AG74*60,60))&amp;"m")</f>
        <v/>
      </c>
      <c r="AI74" s="28">
        <f>IF(OR(O74="",K74="",H74=""),"",IF(OR(E74="XAUUSD",RIGHT(E74,3)="USD"),(O74-K74)*Z74*AA74*H74,IF(LEFT(E74,3)="USD",IF(O74=0,"",(O74-K74)*Z74*AA74*H74/O74),AD74*10*H74)))</f>
        <v/>
      </c>
      <c r="AJ74" s="28">
        <f>IF(O74="","",IF(S74="",IF(AI74="",0,AI74),S74)-IF(R74="",0,R74))</f>
        <v/>
      </c>
      <c r="AK74" s="18">
        <f>IF(C74="","",IF(OR(O74="",P74=""),"Open",IF(ABS(AJ74)&lt;=BEThreshold,"BE",IF(AJ74&gt;0,"Win","Loss"))))</f>
        <v/>
      </c>
      <c r="AL74" s="28">
        <f>IF(OR(C74="",AK74="Open"),"",InitialCapital+SUMIFS($AJ$2:AJ74,$AK$2:AK74,"&lt;&gt;Open"))</f>
        <v/>
      </c>
      <c r="AM74" s="18">
        <f>IF(OR(C74="",AK74=""),"",IF(AK74="Open","No","Yes"))</f>
        <v/>
      </c>
    </row>
    <row r="75" ht="18" customHeight="1">
      <c r="A75" s="18">
        <f>IF(C75="","",COUNTA($C$2:C75))</f>
        <v/>
      </c>
      <c r="B75" s="18">
        <f>IF(C75="","",TEXT(C75,"dddd"))</f>
        <v/>
      </c>
      <c r="C75" s="19" t="n"/>
      <c r="D75" s="20" t="n"/>
      <c r="E75" s="21" t="n"/>
      <c r="F75" s="21" t="n"/>
      <c r="G75" s="21" t="n"/>
      <c r="H75" s="22" t="n"/>
      <c r="I75" s="23" t="n"/>
      <c r="J75" s="22" t="n"/>
      <c r="K75" s="24" t="n"/>
      <c r="L75" s="24" t="n"/>
      <c r="M75" s="24" t="n"/>
      <c r="N75" s="21" t="n"/>
      <c r="O75" s="24" t="n"/>
      <c r="P75" s="19" t="n"/>
      <c r="Q75" s="20" t="n"/>
      <c r="R75" s="23" t="n"/>
      <c r="S75" s="23" t="n"/>
      <c r="T75" s="21" t="n"/>
      <c r="U75" s="21" t="n"/>
      <c r="V75" s="21" t="n"/>
      <c r="W75" s="21" t="n"/>
      <c r="X75" s="21" t="n"/>
      <c r="Y75" s="25">
        <f>IF($C75="","",IF(E75="XAUUSD",0.1,IF(ISNUMBER(SEARCH("JPY",E75)),0.01,0.0001)))</f>
        <v/>
      </c>
      <c r="Z75" s="18">
        <f>IF($C75="","",IF(F75="Sell",-1,1))</f>
        <v/>
      </c>
      <c r="AA75" s="18">
        <f>IF($C75="","",IF(E75="XAUUSD",100,100000))</f>
        <v/>
      </c>
      <c r="AB75" s="26">
        <f>IF(OR(K75="",L75=""),"",ABS(K75-L75)/Y75)</f>
        <v/>
      </c>
      <c r="AC75" s="26">
        <f>IF(OR(K75="",M75=""),"",ABS(M75-K75)/Y75)</f>
        <v/>
      </c>
      <c r="AD75" s="26">
        <f>IF(OR(K75="",O75=""),"",(O75-K75)*Z75/Y75)</f>
        <v/>
      </c>
      <c r="AE75" s="27">
        <f>IF(OR(AB75="",AB75=0,AC75=""),"",AC75/AB75)</f>
        <v/>
      </c>
      <c r="AF75" s="27">
        <f>IF(OR(AB75="",AB75=0,AD75=""),"",AD75/AB75)</f>
        <v/>
      </c>
      <c r="AG75" s="27">
        <f>IF(OR(C75="",P75=""),"",((P75+IF(Q75="",0,Q75))-(C75+IF(D75="",0,D75)))*24)</f>
        <v/>
      </c>
      <c r="AH75" s="18">
        <f>IF(AG75="","",INT(AG75/24)&amp;"d "&amp;INT(MOD(AG75,24))&amp;"h "&amp;INT(MOD(AG75*60,60))&amp;"m")</f>
        <v/>
      </c>
      <c r="AI75" s="28">
        <f>IF(OR(O75="",K75="",H75=""),"",IF(OR(E75="XAUUSD",RIGHT(E75,3)="USD"),(O75-K75)*Z75*AA75*H75,IF(LEFT(E75,3)="USD",IF(O75=0,"",(O75-K75)*Z75*AA75*H75/O75),AD75*10*H75)))</f>
        <v/>
      </c>
      <c r="AJ75" s="28">
        <f>IF(O75="","",IF(S75="",IF(AI75="",0,AI75),S75)-IF(R75="",0,R75))</f>
        <v/>
      </c>
      <c r="AK75" s="18">
        <f>IF(C75="","",IF(OR(O75="",P75=""),"Open",IF(ABS(AJ75)&lt;=BEThreshold,"BE",IF(AJ75&gt;0,"Win","Loss"))))</f>
        <v/>
      </c>
      <c r="AL75" s="28">
        <f>IF(OR(C75="",AK75="Open"),"",InitialCapital+SUMIFS($AJ$2:AJ75,$AK$2:AK75,"&lt;&gt;Open"))</f>
        <v/>
      </c>
      <c r="AM75" s="18">
        <f>IF(OR(C75="",AK75=""),"",IF(AK75="Open","No","Yes"))</f>
        <v/>
      </c>
    </row>
    <row r="76" ht="18" customHeight="1">
      <c r="A76" s="18">
        <f>IF(C76="","",COUNTA($C$2:C76))</f>
        <v/>
      </c>
      <c r="B76" s="18">
        <f>IF(C76="","",TEXT(C76,"dddd"))</f>
        <v/>
      </c>
      <c r="C76" s="19" t="n"/>
      <c r="D76" s="20" t="n"/>
      <c r="E76" s="21" t="n"/>
      <c r="F76" s="21" t="n"/>
      <c r="G76" s="21" t="n"/>
      <c r="H76" s="22" t="n"/>
      <c r="I76" s="23" t="n"/>
      <c r="J76" s="22" t="n"/>
      <c r="K76" s="24" t="n"/>
      <c r="L76" s="24" t="n"/>
      <c r="M76" s="24" t="n"/>
      <c r="N76" s="21" t="n"/>
      <c r="O76" s="24" t="n"/>
      <c r="P76" s="19" t="n"/>
      <c r="Q76" s="20" t="n"/>
      <c r="R76" s="23" t="n"/>
      <c r="S76" s="23" t="n"/>
      <c r="T76" s="21" t="n"/>
      <c r="U76" s="21" t="n"/>
      <c r="V76" s="21" t="n"/>
      <c r="W76" s="21" t="n"/>
      <c r="X76" s="21" t="n"/>
      <c r="Y76" s="25">
        <f>IF($C76="","",IF(E76="XAUUSD",0.1,IF(ISNUMBER(SEARCH("JPY",E76)),0.01,0.0001)))</f>
        <v/>
      </c>
      <c r="Z76" s="18">
        <f>IF($C76="","",IF(F76="Sell",-1,1))</f>
        <v/>
      </c>
      <c r="AA76" s="18">
        <f>IF($C76="","",IF(E76="XAUUSD",100,100000))</f>
        <v/>
      </c>
      <c r="AB76" s="26">
        <f>IF(OR(K76="",L76=""),"",ABS(K76-L76)/Y76)</f>
        <v/>
      </c>
      <c r="AC76" s="26">
        <f>IF(OR(K76="",M76=""),"",ABS(M76-K76)/Y76)</f>
        <v/>
      </c>
      <c r="AD76" s="26">
        <f>IF(OR(K76="",O76=""),"",(O76-K76)*Z76/Y76)</f>
        <v/>
      </c>
      <c r="AE76" s="27">
        <f>IF(OR(AB76="",AB76=0,AC76=""),"",AC76/AB76)</f>
        <v/>
      </c>
      <c r="AF76" s="27">
        <f>IF(OR(AB76="",AB76=0,AD76=""),"",AD76/AB76)</f>
        <v/>
      </c>
      <c r="AG76" s="27">
        <f>IF(OR(C76="",P76=""),"",((P76+IF(Q76="",0,Q76))-(C76+IF(D76="",0,D76)))*24)</f>
        <v/>
      </c>
      <c r="AH76" s="18">
        <f>IF(AG76="","",INT(AG76/24)&amp;"d "&amp;INT(MOD(AG76,24))&amp;"h "&amp;INT(MOD(AG76*60,60))&amp;"m")</f>
        <v/>
      </c>
      <c r="AI76" s="28">
        <f>IF(OR(O76="",K76="",H76=""),"",IF(OR(E76="XAUUSD",RIGHT(E76,3)="USD"),(O76-K76)*Z76*AA76*H76,IF(LEFT(E76,3)="USD",IF(O76=0,"",(O76-K76)*Z76*AA76*H76/O76),AD76*10*H76)))</f>
        <v/>
      </c>
      <c r="AJ76" s="28">
        <f>IF(O76="","",IF(S76="",IF(AI76="",0,AI76),S76)-IF(R76="",0,R76))</f>
        <v/>
      </c>
      <c r="AK76" s="18">
        <f>IF(C76="","",IF(OR(O76="",P76=""),"Open",IF(ABS(AJ76)&lt;=BEThreshold,"BE",IF(AJ76&gt;0,"Win","Loss"))))</f>
        <v/>
      </c>
      <c r="AL76" s="28">
        <f>IF(OR(C76="",AK76="Open"),"",InitialCapital+SUMIFS($AJ$2:AJ76,$AK$2:AK76,"&lt;&gt;Open"))</f>
        <v/>
      </c>
      <c r="AM76" s="18">
        <f>IF(OR(C76="",AK76=""),"",IF(AK76="Open","No","Yes"))</f>
        <v/>
      </c>
    </row>
    <row r="77" ht="18" customHeight="1">
      <c r="A77" s="18">
        <f>IF(C77="","",COUNTA($C$2:C77))</f>
        <v/>
      </c>
      <c r="B77" s="18">
        <f>IF(C77="","",TEXT(C77,"dddd"))</f>
        <v/>
      </c>
      <c r="C77" s="19" t="n"/>
      <c r="D77" s="20" t="n"/>
      <c r="E77" s="21" t="n"/>
      <c r="F77" s="21" t="n"/>
      <c r="G77" s="21" t="n"/>
      <c r="H77" s="22" t="n"/>
      <c r="I77" s="23" t="n"/>
      <c r="J77" s="22" t="n"/>
      <c r="K77" s="24" t="n"/>
      <c r="L77" s="24" t="n"/>
      <c r="M77" s="24" t="n"/>
      <c r="N77" s="21" t="n"/>
      <c r="O77" s="24" t="n"/>
      <c r="P77" s="19" t="n"/>
      <c r="Q77" s="20" t="n"/>
      <c r="R77" s="23" t="n"/>
      <c r="S77" s="23" t="n"/>
      <c r="T77" s="21" t="n"/>
      <c r="U77" s="21" t="n"/>
      <c r="V77" s="21" t="n"/>
      <c r="W77" s="21" t="n"/>
      <c r="X77" s="21" t="n"/>
      <c r="Y77" s="25">
        <f>IF($C77="","",IF(E77="XAUUSD",0.1,IF(ISNUMBER(SEARCH("JPY",E77)),0.01,0.0001)))</f>
        <v/>
      </c>
      <c r="Z77" s="18">
        <f>IF($C77="","",IF(F77="Sell",-1,1))</f>
        <v/>
      </c>
      <c r="AA77" s="18">
        <f>IF($C77="","",IF(E77="XAUUSD",100,100000))</f>
        <v/>
      </c>
      <c r="AB77" s="26">
        <f>IF(OR(K77="",L77=""),"",ABS(K77-L77)/Y77)</f>
        <v/>
      </c>
      <c r="AC77" s="26">
        <f>IF(OR(K77="",M77=""),"",ABS(M77-K77)/Y77)</f>
        <v/>
      </c>
      <c r="AD77" s="26">
        <f>IF(OR(K77="",O77=""),"",(O77-K77)*Z77/Y77)</f>
        <v/>
      </c>
      <c r="AE77" s="27">
        <f>IF(OR(AB77="",AB77=0,AC77=""),"",AC77/AB77)</f>
        <v/>
      </c>
      <c r="AF77" s="27">
        <f>IF(OR(AB77="",AB77=0,AD77=""),"",AD77/AB77)</f>
        <v/>
      </c>
      <c r="AG77" s="27">
        <f>IF(OR(C77="",P77=""),"",((P77+IF(Q77="",0,Q77))-(C77+IF(D77="",0,D77)))*24)</f>
        <v/>
      </c>
      <c r="AH77" s="18">
        <f>IF(AG77="","",INT(AG77/24)&amp;"d "&amp;INT(MOD(AG77,24))&amp;"h "&amp;INT(MOD(AG77*60,60))&amp;"m")</f>
        <v/>
      </c>
      <c r="AI77" s="28">
        <f>IF(OR(O77="",K77="",H77=""),"",IF(OR(E77="XAUUSD",RIGHT(E77,3)="USD"),(O77-K77)*Z77*AA77*H77,IF(LEFT(E77,3)="USD",IF(O77=0,"",(O77-K77)*Z77*AA77*H77/O77),AD77*10*H77)))</f>
        <v/>
      </c>
      <c r="AJ77" s="28">
        <f>IF(O77="","",IF(S77="",IF(AI77="",0,AI77),S77)-IF(R77="",0,R77))</f>
        <v/>
      </c>
      <c r="AK77" s="18">
        <f>IF(C77="","",IF(OR(O77="",P77=""),"Open",IF(ABS(AJ77)&lt;=BEThreshold,"BE",IF(AJ77&gt;0,"Win","Loss"))))</f>
        <v/>
      </c>
      <c r="AL77" s="28">
        <f>IF(OR(C77="",AK77="Open"),"",InitialCapital+SUMIFS($AJ$2:AJ77,$AK$2:AK77,"&lt;&gt;Open"))</f>
        <v/>
      </c>
      <c r="AM77" s="18">
        <f>IF(OR(C77="",AK77=""),"",IF(AK77="Open","No","Yes"))</f>
        <v/>
      </c>
    </row>
    <row r="78" ht="18" customHeight="1">
      <c r="A78" s="18">
        <f>IF(C78="","",COUNTA($C$2:C78))</f>
        <v/>
      </c>
      <c r="B78" s="18">
        <f>IF(C78="","",TEXT(C78,"dddd"))</f>
        <v/>
      </c>
      <c r="C78" s="19" t="n"/>
      <c r="D78" s="20" t="n"/>
      <c r="E78" s="21" t="n"/>
      <c r="F78" s="21" t="n"/>
      <c r="G78" s="21" t="n"/>
      <c r="H78" s="22" t="n"/>
      <c r="I78" s="23" t="n"/>
      <c r="J78" s="22" t="n"/>
      <c r="K78" s="24" t="n"/>
      <c r="L78" s="24" t="n"/>
      <c r="M78" s="24" t="n"/>
      <c r="N78" s="21" t="n"/>
      <c r="O78" s="24" t="n"/>
      <c r="P78" s="19" t="n"/>
      <c r="Q78" s="20" t="n"/>
      <c r="R78" s="23" t="n"/>
      <c r="S78" s="23" t="n"/>
      <c r="T78" s="21" t="n"/>
      <c r="U78" s="21" t="n"/>
      <c r="V78" s="21" t="n"/>
      <c r="W78" s="21" t="n"/>
      <c r="X78" s="21" t="n"/>
      <c r="Y78" s="25">
        <f>IF($C78="","",IF(E78="XAUUSD",0.1,IF(ISNUMBER(SEARCH("JPY",E78)),0.01,0.0001)))</f>
        <v/>
      </c>
      <c r="Z78" s="18">
        <f>IF($C78="","",IF(F78="Sell",-1,1))</f>
        <v/>
      </c>
      <c r="AA78" s="18">
        <f>IF($C78="","",IF(E78="XAUUSD",100,100000))</f>
        <v/>
      </c>
      <c r="AB78" s="26">
        <f>IF(OR(K78="",L78=""),"",ABS(K78-L78)/Y78)</f>
        <v/>
      </c>
      <c r="AC78" s="26">
        <f>IF(OR(K78="",M78=""),"",ABS(M78-K78)/Y78)</f>
        <v/>
      </c>
      <c r="AD78" s="26">
        <f>IF(OR(K78="",O78=""),"",(O78-K78)*Z78/Y78)</f>
        <v/>
      </c>
      <c r="AE78" s="27">
        <f>IF(OR(AB78="",AB78=0,AC78=""),"",AC78/AB78)</f>
        <v/>
      </c>
      <c r="AF78" s="27">
        <f>IF(OR(AB78="",AB78=0,AD78=""),"",AD78/AB78)</f>
        <v/>
      </c>
      <c r="AG78" s="27">
        <f>IF(OR(C78="",P78=""),"",((P78+IF(Q78="",0,Q78))-(C78+IF(D78="",0,D78)))*24)</f>
        <v/>
      </c>
      <c r="AH78" s="18">
        <f>IF(AG78="","",INT(AG78/24)&amp;"d "&amp;INT(MOD(AG78,24))&amp;"h "&amp;INT(MOD(AG78*60,60))&amp;"m")</f>
        <v/>
      </c>
      <c r="AI78" s="28">
        <f>IF(OR(O78="",K78="",H78=""),"",IF(OR(E78="XAUUSD",RIGHT(E78,3)="USD"),(O78-K78)*Z78*AA78*H78,IF(LEFT(E78,3)="USD",IF(O78=0,"",(O78-K78)*Z78*AA78*H78/O78),AD78*10*H78)))</f>
        <v/>
      </c>
      <c r="AJ78" s="28">
        <f>IF(O78="","",IF(S78="",IF(AI78="",0,AI78),S78)-IF(R78="",0,R78))</f>
        <v/>
      </c>
      <c r="AK78" s="18">
        <f>IF(C78="","",IF(OR(O78="",P78=""),"Open",IF(ABS(AJ78)&lt;=BEThreshold,"BE",IF(AJ78&gt;0,"Win","Loss"))))</f>
        <v/>
      </c>
      <c r="AL78" s="28">
        <f>IF(OR(C78="",AK78="Open"),"",InitialCapital+SUMIFS($AJ$2:AJ78,$AK$2:AK78,"&lt;&gt;Open"))</f>
        <v/>
      </c>
      <c r="AM78" s="18">
        <f>IF(OR(C78="",AK78=""),"",IF(AK78="Open","No","Yes"))</f>
        <v/>
      </c>
    </row>
    <row r="79" ht="18" customHeight="1">
      <c r="A79" s="18">
        <f>IF(C79="","",COUNTA($C$2:C79))</f>
        <v/>
      </c>
      <c r="B79" s="18">
        <f>IF(C79="","",TEXT(C79,"dddd"))</f>
        <v/>
      </c>
      <c r="C79" s="19" t="n"/>
      <c r="D79" s="20" t="n"/>
      <c r="E79" s="21" t="n"/>
      <c r="F79" s="21" t="n"/>
      <c r="G79" s="21" t="n"/>
      <c r="H79" s="22" t="n"/>
      <c r="I79" s="23" t="n"/>
      <c r="J79" s="22" t="n"/>
      <c r="K79" s="24" t="n"/>
      <c r="L79" s="24" t="n"/>
      <c r="M79" s="24" t="n"/>
      <c r="N79" s="21" t="n"/>
      <c r="O79" s="24" t="n"/>
      <c r="P79" s="19" t="n"/>
      <c r="Q79" s="20" t="n"/>
      <c r="R79" s="23" t="n"/>
      <c r="S79" s="23" t="n"/>
      <c r="T79" s="21" t="n"/>
      <c r="U79" s="21" t="n"/>
      <c r="V79" s="21" t="n"/>
      <c r="W79" s="21" t="n"/>
      <c r="X79" s="21" t="n"/>
      <c r="Y79" s="25">
        <f>IF($C79="","",IF(E79="XAUUSD",0.1,IF(ISNUMBER(SEARCH("JPY",E79)),0.01,0.0001)))</f>
        <v/>
      </c>
      <c r="Z79" s="18">
        <f>IF($C79="","",IF(F79="Sell",-1,1))</f>
        <v/>
      </c>
      <c r="AA79" s="18">
        <f>IF($C79="","",IF(E79="XAUUSD",100,100000))</f>
        <v/>
      </c>
      <c r="AB79" s="26">
        <f>IF(OR(K79="",L79=""),"",ABS(K79-L79)/Y79)</f>
        <v/>
      </c>
      <c r="AC79" s="26">
        <f>IF(OR(K79="",M79=""),"",ABS(M79-K79)/Y79)</f>
        <v/>
      </c>
      <c r="AD79" s="26">
        <f>IF(OR(K79="",O79=""),"",(O79-K79)*Z79/Y79)</f>
        <v/>
      </c>
      <c r="AE79" s="27">
        <f>IF(OR(AB79="",AB79=0,AC79=""),"",AC79/AB79)</f>
        <v/>
      </c>
      <c r="AF79" s="27">
        <f>IF(OR(AB79="",AB79=0,AD79=""),"",AD79/AB79)</f>
        <v/>
      </c>
      <c r="AG79" s="27">
        <f>IF(OR(C79="",P79=""),"",((P79+IF(Q79="",0,Q79))-(C79+IF(D79="",0,D79)))*24)</f>
        <v/>
      </c>
      <c r="AH79" s="18">
        <f>IF(AG79="","",INT(AG79/24)&amp;"d "&amp;INT(MOD(AG79,24))&amp;"h "&amp;INT(MOD(AG79*60,60))&amp;"m")</f>
        <v/>
      </c>
      <c r="AI79" s="28">
        <f>IF(OR(O79="",K79="",H79=""),"",IF(OR(E79="XAUUSD",RIGHT(E79,3)="USD"),(O79-K79)*Z79*AA79*H79,IF(LEFT(E79,3)="USD",IF(O79=0,"",(O79-K79)*Z79*AA79*H79/O79),AD79*10*H79)))</f>
        <v/>
      </c>
      <c r="AJ79" s="28">
        <f>IF(O79="","",IF(S79="",IF(AI79="",0,AI79),S79)-IF(R79="",0,R79))</f>
        <v/>
      </c>
      <c r="AK79" s="18">
        <f>IF(C79="","",IF(OR(O79="",P79=""),"Open",IF(ABS(AJ79)&lt;=BEThreshold,"BE",IF(AJ79&gt;0,"Win","Loss"))))</f>
        <v/>
      </c>
      <c r="AL79" s="28">
        <f>IF(OR(C79="",AK79="Open"),"",InitialCapital+SUMIFS($AJ$2:AJ79,$AK$2:AK79,"&lt;&gt;Open"))</f>
        <v/>
      </c>
      <c r="AM79" s="18">
        <f>IF(OR(C79="",AK79=""),"",IF(AK79="Open","No","Yes"))</f>
        <v/>
      </c>
    </row>
    <row r="80" ht="18" customHeight="1">
      <c r="A80" s="18">
        <f>IF(C80="","",COUNTA($C$2:C80))</f>
        <v/>
      </c>
      <c r="B80" s="18">
        <f>IF(C80="","",TEXT(C80,"dddd"))</f>
        <v/>
      </c>
      <c r="C80" s="19" t="n"/>
      <c r="D80" s="20" t="n"/>
      <c r="E80" s="21" t="n"/>
      <c r="F80" s="21" t="n"/>
      <c r="G80" s="21" t="n"/>
      <c r="H80" s="22" t="n"/>
      <c r="I80" s="23" t="n"/>
      <c r="J80" s="22" t="n"/>
      <c r="K80" s="24" t="n"/>
      <c r="L80" s="24" t="n"/>
      <c r="M80" s="24" t="n"/>
      <c r="N80" s="21" t="n"/>
      <c r="O80" s="24" t="n"/>
      <c r="P80" s="19" t="n"/>
      <c r="Q80" s="20" t="n"/>
      <c r="R80" s="23" t="n"/>
      <c r="S80" s="23" t="n"/>
      <c r="T80" s="21" t="n"/>
      <c r="U80" s="21" t="n"/>
      <c r="V80" s="21" t="n"/>
      <c r="W80" s="21" t="n"/>
      <c r="X80" s="21" t="n"/>
      <c r="Y80" s="25">
        <f>IF($C80="","",IF(E80="XAUUSD",0.1,IF(ISNUMBER(SEARCH("JPY",E80)),0.01,0.0001)))</f>
        <v/>
      </c>
      <c r="Z80" s="18">
        <f>IF($C80="","",IF(F80="Sell",-1,1))</f>
        <v/>
      </c>
      <c r="AA80" s="18">
        <f>IF($C80="","",IF(E80="XAUUSD",100,100000))</f>
        <v/>
      </c>
      <c r="AB80" s="26">
        <f>IF(OR(K80="",L80=""),"",ABS(K80-L80)/Y80)</f>
        <v/>
      </c>
      <c r="AC80" s="26">
        <f>IF(OR(K80="",M80=""),"",ABS(M80-K80)/Y80)</f>
        <v/>
      </c>
      <c r="AD80" s="26">
        <f>IF(OR(K80="",O80=""),"",(O80-K80)*Z80/Y80)</f>
        <v/>
      </c>
      <c r="AE80" s="27">
        <f>IF(OR(AB80="",AB80=0,AC80=""),"",AC80/AB80)</f>
        <v/>
      </c>
      <c r="AF80" s="27">
        <f>IF(OR(AB80="",AB80=0,AD80=""),"",AD80/AB80)</f>
        <v/>
      </c>
      <c r="AG80" s="27">
        <f>IF(OR(C80="",P80=""),"",((P80+IF(Q80="",0,Q80))-(C80+IF(D80="",0,D80)))*24)</f>
        <v/>
      </c>
      <c r="AH80" s="18">
        <f>IF(AG80="","",INT(AG80/24)&amp;"d "&amp;INT(MOD(AG80,24))&amp;"h "&amp;INT(MOD(AG80*60,60))&amp;"m")</f>
        <v/>
      </c>
      <c r="AI80" s="28">
        <f>IF(OR(O80="",K80="",H80=""),"",IF(OR(E80="XAUUSD",RIGHT(E80,3)="USD"),(O80-K80)*Z80*AA80*H80,IF(LEFT(E80,3)="USD",IF(O80=0,"",(O80-K80)*Z80*AA80*H80/O80),AD80*10*H80)))</f>
        <v/>
      </c>
      <c r="AJ80" s="28">
        <f>IF(O80="","",IF(S80="",IF(AI80="",0,AI80),S80)-IF(R80="",0,R80))</f>
        <v/>
      </c>
      <c r="AK80" s="18">
        <f>IF(C80="","",IF(OR(O80="",P80=""),"Open",IF(ABS(AJ80)&lt;=BEThreshold,"BE",IF(AJ80&gt;0,"Win","Loss"))))</f>
        <v/>
      </c>
      <c r="AL80" s="28">
        <f>IF(OR(C80="",AK80="Open"),"",InitialCapital+SUMIFS($AJ$2:AJ80,$AK$2:AK80,"&lt;&gt;Open"))</f>
        <v/>
      </c>
      <c r="AM80" s="18">
        <f>IF(OR(C80="",AK80=""),"",IF(AK80="Open","No","Yes"))</f>
        <v/>
      </c>
    </row>
    <row r="81" ht="18" customHeight="1">
      <c r="A81" s="18">
        <f>IF(C81="","",COUNTA($C$2:C81))</f>
        <v/>
      </c>
      <c r="B81" s="18">
        <f>IF(C81="","",TEXT(C81,"dddd"))</f>
        <v/>
      </c>
      <c r="C81" s="19" t="n"/>
      <c r="D81" s="20" t="n"/>
      <c r="E81" s="21" t="n"/>
      <c r="F81" s="21" t="n"/>
      <c r="G81" s="21" t="n"/>
      <c r="H81" s="22" t="n"/>
      <c r="I81" s="23" t="n"/>
      <c r="J81" s="22" t="n"/>
      <c r="K81" s="24" t="n"/>
      <c r="L81" s="24" t="n"/>
      <c r="M81" s="24" t="n"/>
      <c r="N81" s="21" t="n"/>
      <c r="O81" s="24" t="n"/>
      <c r="P81" s="19" t="n"/>
      <c r="Q81" s="20" t="n"/>
      <c r="R81" s="23" t="n"/>
      <c r="S81" s="23" t="n"/>
      <c r="T81" s="21" t="n"/>
      <c r="U81" s="21" t="n"/>
      <c r="V81" s="21" t="n"/>
      <c r="W81" s="21" t="n"/>
      <c r="X81" s="21" t="n"/>
      <c r="Y81" s="25">
        <f>IF($C81="","",IF(E81="XAUUSD",0.1,IF(ISNUMBER(SEARCH("JPY",E81)),0.01,0.0001)))</f>
        <v/>
      </c>
      <c r="Z81" s="18">
        <f>IF($C81="","",IF(F81="Sell",-1,1))</f>
        <v/>
      </c>
      <c r="AA81" s="18">
        <f>IF($C81="","",IF(E81="XAUUSD",100,100000))</f>
        <v/>
      </c>
      <c r="AB81" s="26">
        <f>IF(OR(K81="",L81=""),"",ABS(K81-L81)/Y81)</f>
        <v/>
      </c>
      <c r="AC81" s="26">
        <f>IF(OR(K81="",M81=""),"",ABS(M81-K81)/Y81)</f>
        <v/>
      </c>
      <c r="AD81" s="26">
        <f>IF(OR(K81="",O81=""),"",(O81-K81)*Z81/Y81)</f>
        <v/>
      </c>
      <c r="AE81" s="27">
        <f>IF(OR(AB81="",AB81=0,AC81=""),"",AC81/AB81)</f>
        <v/>
      </c>
      <c r="AF81" s="27">
        <f>IF(OR(AB81="",AB81=0,AD81=""),"",AD81/AB81)</f>
        <v/>
      </c>
      <c r="AG81" s="27">
        <f>IF(OR(C81="",P81=""),"",((P81+IF(Q81="",0,Q81))-(C81+IF(D81="",0,D81)))*24)</f>
        <v/>
      </c>
      <c r="AH81" s="18">
        <f>IF(AG81="","",INT(AG81/24)&amp;"d "&amp;INT(MOD(AG81,24))&amp;"h "&amp;INT(MOD(AG81*60,60))&amp;"m")</f>
        <v/>
      </c>
      <c r="AI81" s="28">
        <f>IF(OR(O81="",K81="",H81=""),"",IF(OR(E81="XAUUSD",RIGHT(E81,3)="USD"),(O81-K81)*Z81*AA81*H81,IF(LEFT(E81,3)="USD",IF(O81=0,"",(O81-K81)*Z81*AA81*H81/O81),AD81*10*H81)))</f>
        <v/>
      </c>
      <c r="AJ81" s="28">
        <f>IF(O81="","",IF(S81="",IF(AI81="",0,AI81),S81)-IF(R81="",0,R81))</f>
        <v/>
      </c>
      <c r="AK81" s="18">
        <f>IF(C81="","",IF(OR(O81="",P81=""),"Open",IF(ABS(AJ81)&lt;=BEThreshold,"BE",IF(AJ81&gt;0,"Win","Loss"))))</f>
        <v/>
      </c>
      <c r="AL81" s="28">
        <f>IF(OR(C81="",AK81="Open"),"",InitialCapital+SUMIFS($AJ$2:AJ81,$AK$2:AK81,"&lt;&gt;Open"))</f>
        <v/>
      </c>
      <c r="AM81" s="18">
        <f>IF(OR(C81="",AK81=""),"",IF(AK81="Open","No","Yes"))</f>
        <v/>
      </c>
    </row>
    <row r="82" ht="18" customHeight="1">
      <c r="A82" s="18">
        <f>IF(C82="","",COUNTA($C$2:C82))</f>
        <v/>
      </c>
      <c r="B82" s="18">
        <f>IF(C82="","",TEXT(C82,"dddd"))</f>
        <v/>
      </c>
      <c r="C82" s="19" t="n"/>
      <c r="D82" s="20" t="n"/>
      <c r="E82" s="21" t="n"/>
      <c r="F82" s="21" t="n"/>
      <c r="G82" s="21" t="n"/>
      <c r="H82" s="22" t="n"/>
      <c r="I82" s="23" t="n"/>
      <c r="J82" s="22" t="n"/>
      <c r="K82" s="24" t="n"/>
      <c r="L82" s="24" t="n"/>
      <c r="M82" s="24" t="n"/>
      <c r="N82" s="21" t="n"/>
      <c r="O82" s="24" t="n"/>
      <c r="P82" s="19" t="n"/>
      <c r="Q82" s="20" t="n"/>
      <c r="R82" s="23" t="n"/>
      <c r="S82" s="23" t="n"/>
      <c r="T82" s="21" t="n"/>
      <c r="U82" s="21" t="n"/>
      <c r="V82" s="21" t="n"/>
      <c r="W82" s="21" t="n"/>
      <c r="X82" s="21" t="n"/>
      <c r="Y82" s="25">
        <f>IF($C82="","",IF(E82="XAUUSD",0.1,IF(ISNUMBER(SEARCH("JPY",E82)),0.01,0.0001)))</f>
        <v/>
      </c>
      <c r="Z82" s="18">
        <f>IF($C82="","",IF(F82="Sell",-1,1))</f>
        <v/>
      </c>
      <c r="AA82" s="18">
        <f>IF($C82="","",IF(E82="XAUUSD",100,100000))</f>
        <v/>
      </c>
      <c r="AB82" s="26">
        <f>IF(OR(K82="",L82=""),"",ABS(K82-L82)/Y82)</f>
        <v/>
      </c>
      <c r="AC82" s="26">
        <f>IF(OR(K82="",M82=""),"",ABS(M82-K82)/Y82)</f>
        <v/>
      </c>
      <c r="AD82" s="26">
        <f>IF(OR(K82="",O82=""),"",(O82-K82)*Z82/Y82)</f>
        <v/>
      </c>
      <c r="AE82" s="27">
        <f>IF(OR(AB82="",AB82=0,AC82=""),"",AC82/AB82)</f>
        <v/>
      </c>
      <c r="AF82" s="27">
        <f>IF(OR(AB82="",AB82=0,AD82=""),"",AD82/AB82)</f>
        <v/>
      </c>
      <c r="AG82" s="27">
        <f>IF(OR(C82="",P82=""),"",((P82+IF(Q82="",0,Q82))-(C82+IF(D82="",0,D82)))*24)</f>
        <v/>
      </c>
      <c r="AH82" s="18">
        <f>IF(AG82="","",INT(AG82/24)&amp;"d "&amp;INT(MOD(AG82,24))&amp;"h "&amp;INT(MOD(AG82*60,60))&amp;"m")</f>
        <v/>
      </c>
      <c r="AI82" s="28">
        <f>IF(OR(O82="",K82="",H82=""),"",IF(OR(E82="XAUUSD",RIGHT(E82,3)="USD"),(O82-K82)*Z82*AA82*H82,IF(LEFT(E82,3)="USD",IF(O82=0,"",(O82-K82)*Z82*AA82*H82/O82),AD82*10*H82)))</f>
        <v/>
      </c>
      <c r="AJ82" s="28">
        <f>IF(O82="","",IF(S82="",IF(AI82="",0,AI82),S82)-IF(R82="",0,R82))</f>
        <v/>
      </c>
      <c r="AK82" s="18">
        <f>IF(C82="","",IF(OR(O82="",P82=""),"Open",IF(ABS(AJ82)&lt;=BEThreshold,"BE",IF(AJ82&gt;0,"Win","Loss"))))</f>
        <v/>
      </c>
      <c r="AL82" s="28">
        <f>IF(OR(C82="",AK82="Open"),"",InitialCapital+SUMIFS($AJ$2:AJ82,$AK$2:AK82,"&lt;&gt;Open"))</f>
        <v/>
      </c>
      <c r="AM82" s="18">
        <f>IF(OR(C82="",AK82=""),"",IF(AK82="Open","No","Yes"))</f>
        <v/>
      </c>
    </row>
    <row r="83" ht="18" customHeight="1">
      <c r="A83" s="18">
        <f>IF(C83="","",COUNTA($C$2:C83))</f>
        <v/>
      </c>
      <c r="B83" s="18">
        <f>IF(C83="","",TEXT(C83,"dddd"))</f>
        <v/>
      </c>
      <c r="C83" s="19" t="n"/>
      <c r="D83" s="20" t="n"/>
      <c r="E83" s="21" t="n"/>
      <c r="F83" s="21" t="n"/>
      <c r="G83" s="21" t="n"/>
      <c r="H83" s="22" t="n"/>
      <c r="I83" s="23" t="n"/>
      <c r="J83" s="22" t="n"/>
      <c r="K83" s="24" t="n"/>
      <c r="L83" s="24" t="n"/>
      <c r="M83" s="24" t="n"/>
      <c r="N83" s="21" t="n"/>
      <c r="O83" s="24" t="n"/>
      <c r="P83" s="19" t="n"/>
      <c r="Q83" s="20" t="n"/>
      <c r="R83" s="23" t="n"/>
      <c r="S83" s="23" t="n"/>
      <c r="T83" s="21" t="n"/>
      <c r="U83" s="21" t="n"/>
      <c r="V83" s="21" t="n"/>
      <c r="W83" s="21" t="n"/>
      <c r="X83" s="21" t="n"/>
      <c r="Y83" s="25">
        <f>IF($C83="","",IF(E83="XAUUSD",0.1,IF(ISNUMBER(SEARCH("JPY",E83)),0.01,0.0001)))</f>
        <v/>
      </c>
      <c r="Z83" s="18">
        <f>IF($C83="","",IF(F83="Sell",-1,1))</f>
        <v/>
      </c>
      <c r="AA83" s="18">
        <f>IF($C83="","",IF(E83="XAUUSD",100,100000))</f>
        <v/>
      </c>
      <c r="AB83" s="26">
        <f>IF(OR(K83="",L83=""),"",ABS(K83-L83)/Y83)</f>
        <v/>
      </c>
      <c r="AC83" s="26">
        <f>IF(OR(K83="",M83=""),"",ABS(M83-K83)/Y83)</f>
        <v/>
      </c>
      <c r="AD83" s="26">
        <f>IF(OR(K83="",O83=""),"",(O83-K83)*Z83/Y83)</f>
        <v/>
      </c>
      <c r="AE83" s="27">
        <f>IF(OR(AB83="",AB83=0,AC83=""),"",AC83/AB83)</f>
        <v/>
      </c>
      <c r="AF83" s="27">
        <f>IF(OR(AB83="",AB83=0,AD83=""),"",AD83/AB83)</f>
        <v/>
      </c>
      <c r="AG83" s="27">
        <f>IF(OR(C83="",P83=""),"",((P83+IF(Q83="",0,Q83))-(C83+IF(D83="",0,D83)))*24)</f>
        <v/>
      </c>
      <c r="AH83" s="18">
        <f>IF(AG83="","",INT(AG83/24)&amp;"d "&amp;INT(MOD(AG83,24))&amp;"h "&amp;INT(MOD(AG83*60,60))&amp;"m")</f>
        <v/>
      </c>
      <c r="AI83" s="28">
        <f>IF(OR(O83="",K83="",H83=""),"",IF(OR(E83="XAUUSD",RIGHT(E83,3)="USD"),(O83-K83)*Z83*AA83*H83,IF(LEFT(E83,3)="USD",IF(O83=0,"",(O83-K83)*Z83*AA83*H83/O83),AD83*10*H83)))</f>
        <v/>
      </c>
      <c r="AJ83" s="28">
        <f>IF(O83="","",IF(S83="",IF(AI83="",0,AI83),S83)-IF(R83="",0,R83))</f>
        <v/>
      </c>
      <c r="AK83" s="18">
        <f>IF(C83="","",IF(OR(O83="",P83=""),"Open",IF(ABS(AJ83)&lt;=BEThreshold,"BE",IF(AJ83&gt;0,"Win","Loss"))))</f>
        <v/>
      </c>
      <c r="AL83" s="28">
        <f>IF(OR(C83="",AK83="Open"),"",InitialCapital+SUMIFS($AJ$2:AJ83,$AK$2:AK83,"&lt;&gt;Open"))</f>
        <v/>
      </c>
      <c r="AM83" s="18">
        <f>IF(OR(C83="",AK83=""),"",IF(AK83="Open","No","Yes"))</f>
        <v/>
      </c>
    </row>
    <row r="84" ht="18" customHeight="1">
      <c r="A84" s="18">
        <f>IF(C84="","",COUNTA($C$2:C84))</f>
        <v/>
      </c>
      <c r="B84" s="18">
        <f>IF(C84="","",TEXT(C84,"dddd"))</f>
        <v/>
      </c>
      <c r="C84" s="19" t="n"/>
      <c r="D84" s="20" t="n"/>
      <c r="E84" s="21" t="n"/>
      <c r="F84" s="21" t="n"/>
      <c r="G84" s="21" t="n"/>
      <c r="H84" s="22" t="n"/>
      <c r="I84" s="23" t="n"/>
      <c r="J84" s="22" t="n"/>
      <c r="K84" s="24" t="n"/>
      <c r="L84" s="24" t="n"/>
      <c r="M84" s="24" t="n"/>
      <c r="N84" s="21" t="n"/>
      <c r="O84" s="24" t="n"/>
      <c r="P84" s="19" t="n"/>
      <c r="Q84" s="20" t="n"/>
      <c r="R84" s="23" t="n"/>
      <c r="S84" s="23" t="n"/>
      <c r="T84" s="21" t="n"/>
      <c r="U84" s="21" t="n"/>
      <c r="V84" s="21" t="n"/>
      <c r="W84" s="21" t="n"/>
      <c r="X84" s="21" t="n"/>
      <c r="Y84" s="25">
        <f>IF($C84="","",IF(E84="XAUUSD",0.1,IF(ISNUMBER(SEARCH("JPY",E84)),0.01,0.0001)))</f>
        <v/>
      </c>
      <c r="Z84" s="18">
        <f>IF($C84="","",IF(F84="Sell",-1,1))</f>
        <v/>
      </c>
      <c r="AA84" s="18">
        <f>IF($C84="","",IF(E84="XAUUSD",100,100000))</f>
        <v/>
      </c>
      <c r="AB84" s="26">
        <f>IF(OR(K84="",L84=""),"",ABS(K84-L84)/Y84)</f>
        <v/>
      </c>
      <c r="AC84" s="26">
        <f>IF(OR(K84="",M84=""),"",ABS(M84-K84)/Y84)</f>
        <v/>
      </c>
      <c r="AD84" s="26">
        <f>IF(OR(K84="",O84=""),"",(O84-K84)*Z84/Y84)</f>
        <v/>
      </c>
      <c r="AE84" s="27">
        <f>IF(OR(AB84="",AB84=0,AC84=""),"",AC84/AB84)</f>
        <v/>
      </c>
      <c r="AF84" s="27">
        <f>IF(OR(AB84="",AB84=0,AD84=""),"",AD84/AB84)</f>
        <v/>
      </c>
      <c r="AG84" s="27">
        <f>IF(OR(C84="",P84=""),"",((P84+IF(Q84="",0,Q84))-(C84+IF(D84="",0,D84)))*24)</f>
        <v/>
      </c>
      <c r="AH84" s="18">
        <f>IF(AG84="","",INT(AG84/24)&amp;"d "&amp;INT(MOD(AG84,24))&amp;"h "&amp;INT(MOD(AG84*60,60))&amp;"m")</f>
        <v/>
      </c>
      <c r="AI84" s="28">
        <f>IF(OR(O84="",K84="",H84=""),"",IF(OR(E84="XAUUSD",RIGHT(E84,3)="USD"),(O84-K84)*Z84*AA84*H84,IF(LEFT(E84,3)="USD",IF(O84=0,"",(O84-K84)*Z84*AA84*H84/O84),AD84*10*H84)))</f>
        <v/>
      </c>
      <c r="AJ84" s="28">
        <f>IF(O84="","",IF(S84="",IF(AI84="",0,AI84),S84)-IF(R84="",0,R84))</f>
        <v/>
      </c>
      <c r="AK84" s="18">
        <f>IF(C84="","",IF(OR(O84="",P84=""),"Open",IF(ABS(AJ84)&lt;=BEThreshold,"BE",IF(AJ84&gt;0,"Win","Loss"))))</f>
        <v/>
      </c>
      <c r="AL84" s="28">
        <f>IF(OR(C84="",AK84="Open"),"",InitialCapital+SUMIFS($AJ$2:AJ84,$AK$2:AK84,"&lt;&gt;Open"))</f>
        <v/>
      </c>
      <c r="AM84" s="18">
        <f>IF(OR(C84="",AK84=""),"",IF(AK84="Open","No","Yes"))</f>
        <v/>
      </c>
    </row>
    <row r="85" ht="18" customHeight="1">
      <c r="A85" s="18">
        <f>IF(C85="","",COUNTA($C$2:C85))</f>
        <v/>
      </c>
      <c r="B85" s="18">
        <f>IF(C85="","",TEXT(C85,"dddd"))</f>
        <v/>
      </c>
      <c r="C85" s="19" t="n"/>
      <c r="D85" s="20" t="n"/>
      <c r="E85" s="21" t="n"/>
      <c r="F85" s="21" t="n"/>
      <c r="G85" s="21" t="n"/>
      <c r="H85" s="22" t="n"/>
      <c r="I85" s="23" t="n"/>
      <c r="J85" s="22" t="n"/>
      <c r="K85" s="24" t="n"/>
      <c r="L85" s="24" t="n"/>
      <c r="M85" s="24" t="n"/>
      <c r="N85" s="21" t="n"/>
      <c r="O85" s="24" t="n"/>
      <c r="P85" s="19" t="n"/>
      <c r="Q85" s="20" t="n"/>
      <c r="R85" s="23" t="n"/>
      <c r="S85" s="23" t="n"/>
      <c r="T85" s="21" t="n"/>
      <c r="U85" s="21" t="n"/>
      <c r="V85" s="21" t="n"/>
      <c r="W85" s="21" t="n"/>
      <c r="X85" s="21" t="n"/>
      <c r="Y85" s="25">
        <f>IF($C85="","",IF(E85="XAUUSD",0.1,IF(ISNUMBER(SEARCH("JPY",E85)),0.01,0.0001)))</f>
        <v/>
      </c>
      <c r="Z85" s="18">
        <f>IF($C85="","",IF(F85="Sell",-1,1))</f>
        <v/>
      </c>
      <c r="AA85" s="18">
        <f>IF($C85="","",IF(E85="XAUUSD",100,100000))</f>
        <v/>
      </c>
      <c r="AB85" s="26">
        <f>IF(OR(K85="",L85=""),"",ABS(K85-L85)/Y85)</f>
        <v/>
      </c>
      <c r="AC85" s="26">
        <f>IF(OR(K85="",M85=""),"",ABS(M85-K85)/Y85)</f>
        <v/>
      </c>
      <c r="AD85" s="26">
        <f>IF(OR(K85="",O85=""),"",(O85-K85)*Z85/Y85)</f>
        <v/>
      </c>
      <c r="AE85" s="27">
        <f>IF(OR(AB85="",AB85=0,AC85=""),"",AC85/AB85)</f>
        <v/>
      </c>
      <c r="AF85" s="27">
        <f>IF(OR(AB85="",AB85=0,AD85=""),"",AD85/AB85)</f>
        <v/>
      </c>
      <c r="AG85" s="27">
        <f>IF(OR(C85="",P85=""),"",((P85+IF(Q85="",0,Q85))-(C85+IF(D85="",0,D85)))*24)</f>
        <v/>
      </c>
      <c r="AH85" s="18">
        <f>IF(AG85="","",INT(AG85/24)&amp;"d "&amp;INT(MOD(AG85,24))&amp;"h "&amp;INT(MOD(AG85*60,60))&amp;"m")</f>
        <v/>
      </c>
      <c r="AI85" s="28">
        <f>IF(OR(O85="",K85="",H85=""),"",IF(OR(E85="XAUUSD",RIGHT(E85,3)="USD"),(O85-K85)*Z85*AA85*H85,IF(LEFT(E85,3)="USD",IF(O85=0,"",(O85-K85)*Z85*AA85*H85/O85),AD85*10*H85)))</f>
        <v/>
      </c>
      <c r="AJ85" s="28">
        <f>IF(O85="","",IF(S85="",IF(AI85="",0,AI85),S85)-IF(R85="",0,R85))</f>
        <v/>
      </c>
      <c r="AK85" s="18">
        <f>IF(C85="","",IF(OR(O85="",P85=""),"Open",IF(ABS(AJ85)&lt;=BEThreshold,"BE",IF(AJ85&gt;0,"Win","Loss"))))</f>
        <v/>
      </c>
      <c r="AL85" s="28">
        <f>IF(OR(C85="",AK85="Open"),"",InitialCapital+SUMIFS($AJ$2:AJ85,$AK$2:AK85,"&lt;&gt;Open"))</f>
        <v/>
      </c>
      <c r="AM85" s="18">
        <f>IF(OR(C85="",AK85=""),"",IF(AK85="Open","No","Yes"))</f>
        <v/>
      </c>
    </row>
    <row r="86" ht="18" customHeight="1">
      <c r="A86" s="18">
        <f>IF(C86="","",COUNTA($C$2:C86))</f>
        <v/>
      </c>
      <c r="B86" s="18">
        <f>IF(C86="","",TEXT(C86,"dddd"))</f>
        <v/>
      </c>
      <c r="C86" s="19" t="n"/>
      <c r="D86" s="20" t="n"/>
      <c r="E86" s="21" t="n"/>
      <c r="F86" s="21" t="n"/>
      <c r="G86" s="21" t="n"/>
      <c r="H86" s="22" t="n"/>
      <c r="I86" s="23" t="n"/>
      <c r="J86" s="22" t="n"/>
      <c r="K86" s="24" t="n"/>
      <c r="L86" s="24" t="n"/>
      <c r="M86" s="24" t="n"/>
      <c r="N86" s="21" t="n"/>
      <c r="O86" s="24" t="n"/>
      <c r="P86" s="19" t="n"/>
      <c r="Q86" s="20" t="n"/>
      <c r="R86" s="23" t="n"/>
      <c r="S86" s="23" t="n"/>
      <c r="T86" s="21" t="n"/>
      <c r="U86" s="21" t="n"/>
      <c r="V86" s="21" t="n"/>
      <c r="W86" s="21" t="n"/>
      <c r="X86" s="21" t="n"/>
      <c r="Y86" s="25">
        <f>IF($C86="","",IF(E86="XAUUSD",0.1,IF(ISNUMBER(SEARCH("JPY",E86)),0.01,0.0001)))</f>
        <v/>
      </c>
      <c r="Z86" s="18">
        <f>IF($C86="","",IF(F86="Sell",-1,1))</f>
        <v/>
      </c>
      <c r="AA86" s="18">
        <f>IF($C86="","",IF(E86="XAUUSD",100,100000))</f>
        <v/>
      </c>
      <c r="AB86" s="26">
        <f>IF(OR(K86="",L86=""),"",ABS(K86-L86)/Y86)</f>
        <v/>
      </c>
      <c r="AC86" s="26">
        <f>IF(OR(K86="",M86=""),"",ABS(M86-K86)/Y86)</f>
        <v/>
      </c>
      <c r="AD86" s="26">
        <f>IF(OR(K86="",O86=""),"",(O86-K86)*Z86/Y86)</f>
        <v/>
      </c>
      <c r="AE86" s="27">
        <f>IF(OR(AB86="",AB86=0,AC86=""),"",AC86/AB86)</f>
        <v/>
      </c>
      <c r="AF86" s="27">
        <f>IF(OR(AB86="",AB86=0,AD86=""),"",AD86/AB86)</f>
        <v/>
      </c>
      <c r="AG86" s="27">
        <f>IF(OR(C86="",P86=""),"",((P86+IF(Q86="",0,Q86))-(C86+IF(D86="",0,D86)))*24)</f>
        <v/>
      </c>
      <c r="AH86" s="18">
        <f>IF(AG86="","",INT(AG86/24)&amp;"d "&amp;INT(MOD(AG86,24))&amp;"h "&amp;INT(MOD(AG86*60,60))&amp;"m")</f>
        <v/>
      </c>
      <c r="AI86" s="28">
        <f>IF(OR(O86="",K86="",H86=""),"",IF(OR(E86="XAUUSD",RIGHT(E86,3)="USD"),(O86-K86)*Z86*AA86*H86,IF(LEFT(E86,3)="USD",IF(O86=0,"",(O86-K86)*Z86*AA86*H86/O86),AD86*10*H86)))</f>
        <v/>
      </c>
      <c r="AJ86" s="28">
        <f>IF(O86="","",IF(S86="",IF(AI86="",0,AI86),S86)-IF(R86="",0,R86))</f>
        <v/>
      </c>
      <c r="AK86" s="18">
        <f>IF(C86="","",IF(OR(O86="",P86=""),"Open",IF(ABS(AJ86)&lt;=BEThreshold,"BE",IF(AJ86&gt;0,"Win","Loss"))))</f>
        <v/>
      </c>
      <c r="AL86" s="28">
        <f>IF(OR(C86="",AK86="Open"),"",InitialCapital+SUMIFS($AJ$2:AJ86,$AK$2:AK86,"&lt;&gt;Open"))</f>
        <v/>
      </c>
      <c r="AM86" s="18">
        <f>IF(OR(C86="",AK86=""),"",IF(AK86="Open","No","Yes"))</f>
        <v/>
      </c>
    </row>
    <row r="87" ht="18" customHeight="1">
      <c r="A87" s="18">
        <f>IF(C87="","",COUNTA($C$2:C87))</f>
        <v/>
      </c>
      <c r="B87" s="18">
        <f>IF(C87="","",TEXT(C87,"dddd"))</f>
        <v/>
      </c>
      <c r="C87" s="19" t="n"/>
      <c r="D87" s="20" t="n"/>
      <c r="E87" s="21" t="n"/>
      <c r="F87" s="21" t="n"/>
      <c r="G87" s="21" t="n"/>
      <c r="H87" s="22" t="n"/>
      <c r="I87" s="23" t="n"/>
      <c r="J87" s="22" t="n"/>
      <c r="K87" s="24" t="n"/>
      <c r="L87" s="24" t="n"/>
      <c r="M87" s="24" t="n"/>
      <c r="N87" s="21" t="n"/>
      <c r="O87" s="24" t="n"/>
      <c r="P87" s="19" t="n"/>
      <c r="Q87" s="20" t="n"/>
      <c r="R87" s="23" t="n"/>
      <c r="S87" s="23" t="n"/>
      <c r="T87" s="21" t="n"/>
      <c r="U87" s="21" t="n"/>
      <c r="V87" s="21" t="n"/>
      <c r="W87" s="21" t="n"/>
      <c r="X87" s="21" t="n"/>
      <c r="Y87" s="25">
        <f>IF($C87="","",IF(E87="XAUUSD",0.1,IF(ISNUMBER(SEARCH("JPY",E87)),0.01,0.0001)))</f>
        <v/>
      </c>
      <c r="Z87" s="18">
        <f>IF($C87="","",IF(F87="Sell",-1,1))</f>
        <v/>
      </c>
      <c r="AA87" s="18">
        <f>IF($C87="","",IF(E87="XAUUSD",100,100000))</f>
        <v/>
      </c>
      <c r="AB87" s="26">
        <f>IF(OR(K87="",L87=""),"",ABS(K87-L87)/Y87)</f>
        <v/>
      </c>
      <c r="AC87" s="26">
        <f>IF(OR(K87="",M87=""),"",ABS(M87-K87)/Y87)</f>
        <v/>
      </c>
      <c r="AD87" s="26">
        <f>IF(OR(K87="",O87=""),"",(O87-K87)*Z87/Y87)</f>
        <v/>
      </c>
      <c r="AE87" s="27">
        <f>IF(OR(AB87="",AB87=0,AC87=""),"",AC87/AB87)</f>
        <v/>
      </c>
      <c r="AF87" s="27">
        <f>IF(OR(AB87="",AB87=0,AD87=""),"",AD87/AB87)</f>
        <v/>
      </c>
      <c r="AG87" s="27">
        <f>IF(OR(C87="",P87=""),"",((P87+IF(Q87="",0,Q87))-(C87+IF(D87="",0,D87)))*24)</f>
        <v/>
      </c>
      <c r="AH87" s="18">
        <f>IF(AG87="","",INT(AG87/24)&amp;"d "&amp;INT(MOD(AG87,24))&amp;"h "&amp;INT(MOD(AG87*60,60))&amp;"m")</f>
        <v/>
      </c>
      <c r="AI87" s="28">
        <f>IF(OR(O87="",K87="",H87=""),"",IF(OR(E87="XAUUSD",RIGHT(E87,3)="USD"),(O87-K87)*Z87*AA87*H87,IF(LEFT(E87,3)="USD",IF(O87=0,"",(O87-K87)*Z87*AA87*H87/O87),AD87*10*H87)))</f>
        <v/>
      </c>
      <c r="AJ87" s="28">
        <f>IF(O87="","",IF(S87="",IF(AI87="",0,AI87),S87)-IF(R87="",0,R87))</f>
        <v/>
      </c>
      <c r="AK87" s="18">
        <f>IF(C87="","",IF(OR(O87="",P87=""),"Open",IF(ABS(AJ87)&lt;=BEThreshold,"BE",IF(AJ87&gt;0,"Win","Loss"))))</f>
        <v/>
      </c>
      <c r="AL87" s="28">
        <f>IF(OR(C87="",AK87="Open"),"",InitialCapital+SUMIFS($AJ$2:AJ87,$AK$2:AK87,"&lt;&gt;Open"))</f>
        <v/>
      </c>
      <c r="AM87" s="18">
        <f>IF(OR(C87="",AK87=""),"",IF(AK87="Open","No","Yes"))</f>
        <v/>
      </c>
    </row>
    <row r="88" ht="18" customHeight="1">
      <c r="A88" s="18">
        <f>IF(C88="","",COUNTA($C$2:C88))</f>
        <v/>
      </c>
      <c r="B88" s="18">
        <f>IF(C88="","",TEXT(C88,"dddd"))</f>
        <v/>
      </c>
      <c r="C88" s="19" t="n"/>
      <c r="D88" s="20" t="n"/>
      <c r="E88" s="21" t="n"/>
      <c r="F88" s="21" t="n"/>
      <c r="G88" s="21" t="n"/>
      <c r="H88" s="22" t="n"/>
      <c r="I88" s="23" t="n"/>
      <c r="J88" s="22" t="n"/>
      <c r="K88" s="24" t="n"/>
      <c r="L88" s="24" t="n"/>
      <c r="M88" s="24" t="n"/>
      <c r="N88" s="21" t="n"/>
      <c r="O88" s="24" t="n"/>
      <c r="P88" s="19" t="n"/>
      <c r="Q88" s="20" t="n"/>
      <c r="R88" s="23" t="n"/>
      <c r="S88" s="23" t="n"/>
      <c r="T88" s="21" t="n"/>
      <c r="U88" s="21" t="n"/>
      <c r="V88" s="21" t="n"/>
      <c r="W88" s="21" t="n"/>
      <c r="X88" s="21" t="n"/>
      <c r="Y88" s="25">
        <f>IF($C88="","",IF(E88="XAUUSD",0.1,IF(ISNUMBER(SEARCH("JPY",E88)),0.01,0.0001)))</f>
        <v/>
      </c>
      <c r="Z88" s="18">
        <f>IF($C88="","",IF(F88="Sell",-1,1))</f>
        <v/>
      </c>
      <c r="AA88" s="18">
        <f>IF($C88="","",IF(E88="XAUUSD",100,100000))</f>
        <v/>
      </c>
      <c r="AB88" s="26">
        <f>IF(OR(K88="",L88=""),"",ABS(K88-L88)/Y88)</f>
        <v/>
      </c>
      <c r="AC88" s="26">
        <f>IF(OR(K88="",M88=""),"",ABS(M88-K88)/Y88)</f>
        <v/>
      </c>
      <c r="AD88" s="26">
        <f>IF(OR(K88="",O88=""),"",(O88-K88)*Z88/Y88)</f>
        <v/>
      </c>
      <c r="AE88" s="27">
        <f>IF(OR(AB88="",AB88=0,AC88=""),"",AC88/AB88)</f>
        <v/>
      </c>
      <c r="AF88" s="27">
        <f>IF(OR(AB88="",AB88=0,AD88=""),"",AD88/AB88)</f>
        <v/>
      </c>
      <c r="AG88" s="27">
        <f>IF(OR(C88="",P88=""),"",((P88+IF(Q88="",0,Q88))-(C88+IF(D88="",0,D88)))*24)</f>
        <v/>
      </c>
      <c r="AH88" s="18">
        <f>IF(AG88="","",INT(AG88/24)&amp;"d "&amp;INT(MOD(AG88,24))&amp;"h "&amp;INT(MOD(AG88*60,60))&amp;"m")</f>
        <v/>
      </c>
      <c r="AI88" s="28">
        <f>IF(OR(O88="",K88="",H88=""),"",IF(OR(E88="XAUUSD",RIGHT(E88,3)="USD"),(O88-K88)*Z88*AA88*H88,IF(LEFT(E88,3)="USD",IF(O88=0,"",(O88-K88)*Z88*AA88*H88/O88),AD88*10*H88)))</f>
        <v/>
      </c>
      <c r="AJ88" s="28">
        <f>IF(O88="","",IF(S88="",IF(AI88="",0,AI88),S88)-IF(R88="",0,R88))</f>
        <v/>
      </c>
      <c r="AK88" s="18">
        <f>IF(C88="","",IF(OR(O88="",P88=""),"Open",IF(ABS(AJ88)&lt;=BEThreshold,"BE",IF(AJ88&gt;0,"Win","Loss"))))</f>
        <v/>
      </c>
      <c r="AL88" s="28">
        <f>IF(OR(C88="",AK88="Open"),"",InitialCapital+SUMIFS($AJ$2:AJ88,$AK$2:AK88,"&lt;&gt;Open"))</f>
        <v/>
      </c>
      <c r="AM88" s="18">
        <f>IF(OR(C88="",AK88=""),"",IF(AK88="Open","No","Yes"))</f>
        <v/>
      </c>
    </row>
    <row r="89" ht="18" customHeight="1">
      <c r="A89" s="18">
        <f>IF(C89="","",COUNTA($C$2:C89))</f>
        <v/>
      </c>
      <c r="B89" s="18">
        <f>IF(C89="","",TEXT(C89,"dddd"))</f>
        <v/>
      </c>
      <c r="C89" s="19" t="n"/>
      <c r="D89" s="20" t="n"/>
      <c r="E89" s="21" t="n"/>
      <c r="F89" s="21" t="n"/>
      <c r="G89" s="21" t="n"/>
      <c r="H89" s="22" t="n"/>
      <c r="I89" s="23" t="n"/>
      <c r="J89" s="22" t="n"/>
      <c r="K89" s="24" t="n"/>
      <c r="L89" s="24" t="n"/>
      <c r="M89" s="24" t="n"/>
      <c r="N89" s="21" t="n"/>
      <c r="O89" s="24" t="n"/>
      <c r="P89" s="19" t="n"/>
      <c r="Q89" s="20" t="n"/>
      <c r="R89" s="23" t="n"/>
      <c r="S89" s="23" t="n"/>
      <c r="T89" s="21" t="n"/>
      <c r="U89" s="21" t="n"/>
      <c r="V89" s="21" t="n"/>
      <c r="W89" s="21" t="n"/>
      <c r="X89" s="21" t="n"/>
      <c r="Y89" s="25">
        <f>IF($C89="","",IF(E89="XAUUSD",0.1,IF(ISNUMBER(SEARCH("JPY",E89)),0.01,0.0001)))</f>
        <v/>
      </c>
      <c r="Z89" s="18">
        <f>IF($C89="","",IF(F89="Sell",-1,1))</f>
        <v/>
      </c>
      <c r="AA89" s="18">
        <f>IF($C89="","",IF(E89="XAUUSD",100,100000))</f>
        <v/>
      </c>
      <c r="AB89" s="26">
        <f>IF(OR(K89="",L89=""),"",ABS(K89-L89)/Y89)</f>
        <v/>
      </c>
      <c r="AC89" s="26">
        <f>IF(OR(K89="",M89=""),"",ABS(M89-K89)/Y89)</f>
        <v/>
      </c>
      <c r="AD89" s="26">
        <f>IF(OR(K89="",O89=""),"",(O89-K89)*Z89/Y89)</f>
        <v/>
      </c>
      <c r="AE89" s="27">
        <f>IF(OR(AB89="",AB89=0,AC89=""),"",AC89/AB89)</f>
        <v/>
      </c>
      <c r="AF89" s="27">
        <f>IF(OR(AB89="",AB89=0,AD89=""),"",AD89/AB89)</f>
        <v/>
      </c>
      <c r="AG89" s="27">
        <f>IF(OR(C89="",P89=""),"",((P89+IF(Q89="",0,Q89))-(C89+IF(D89="",0,D89)))*24)</f>
        <v/>
      </c>
      <c r="AH89" s="18">
        <f>IF(AG89="","",INT(AG89/24)&amp;"d "&amp;INT(MOD(AG89,24))&amp;"h "&amp;INT(MOD(AG89*60,60))&amp;"m")</f>
        <v/>
      </c>
      <c r="AI89" s="28">
        <f>IF(OR(O89="",K89="",H89=""),"",IF(OR(E89="XAUUSD",RIGHT(E89,3)="USD"),(O89-K89)*Z89*AA89*H89,IF(LEFT(E89,3)="USD",IF(O89=0,"",(O89-K89)*Z89*AA89*H89/O89),AD89*10*H89)))</f>
        <v/>
      </c>
      <c r="AJ89" s="28">
        <f>IF(O89="","",IF(S89="",IF(AI89="",0,AI89),S89)-IF(R89="",0,R89))</f>
        <v/>
      </c>
      <c r="AK89" s="18">
        <f>IF(C89="","",IF(OR(O89="",P89=""),"Open",IF(ABS(AJ89)&lt;=BEThreshold,"BE",IF(AJ89&gt;0,"Win","Loss"))))</f>
        <v/>
      </c>
      <c r="AL89" s="28">
        <f>IF(OR(C89="",AK89="Open"),"",InitialCapital+SUMIFS($AJ$2:AJ89,$AK$2:AK89,"&lt;&gt;Open"))</f>
        <v/>
      </c>
      <c r="AM89" s="18">
        <f>IF(OR(C89="",AK89=""),"",IF(AK89="Open","No","Yes"))</f>
        <v/>
      </c>
    </row>
    <row r="90" ht="18" customHeight="1">
      <c r="A90" s="18">
        <f>IF(C90="","",COUNTA($C$2:C90))</f>
        <v/>
      </c>
      <c r="B90" s="18">
        <f>IF(C90="","",TEXT(C90,"dddd"))</f>
        <v/>
      </c>
      <c r="C90" s="19" t="n"/>
      <c r="D90" s="20" t="n"/>
      <c r="E90" s="21" t="n"/>
      <c r="F90" s="21" t="n"/>
      <c r="G90" s="21" t="n"/>
      <c r="H90" s="22" t="n"/>
      <c r="I90" s="23" t="n"/>
      <c r="J90" s="22" t="n"/>
      <c r="K90" s="24" t="n"/>
      <c r="L90" s="24" t="n"/>
      <c r="M90" s="24" t="n"/>
      <c r="N90" s="21" t="n"/>
      <c r="O90" s="24" t="n"/>
      <c r="P90" s="19" t="n"/>
      <c r="Q90" s="20" t="n"/>
      <c r="R90" s="23" t="n"/>
      <c r="S90" s="23" t="n"/>
      <c r="T90" s="21" t="n"/>
      <c r="U90" s="21" t="n"/>
      <c r="V90" s="21" t="n"/>
      <c r="W90" s="21" t="n"/>
      <c r="X90" s="21" t="n"/>
      <c r="Y90" s="25">
        <f>IF($C90="","",IF(E90="XAUUSD",0.1,IF(ISNUMBER(SEARCH("JPY",E90)),0.01,0.0001)))</f>
        <v/>
      </c>
      <c r="Z90" s="18">
        <f>IF($C90="","",IF(F90="Sell",-1,1))</f>
        <v/>
      </c>
      <c r="AA90" s="18">
        <f>IF($C90="","",IF(E90="XAUUSD",100,100000))</f>
        <v/>
      </c>
      <c r="AB90" s="26">
        <f>IF(OR(K90="",L90=""),"",ABS(K90-L90)/Y90)</f>
        <v/>
      </c>
      <c r="AC90" s="26">
        <f>IF(OR(K90="",M90=""),"",ABS(M90-K90)/Y90)</f>
        <v/>
      </c>
      <c r="AD90" s="26">
        <f>IF(OR(K90="",O90=""),"",(O90-K90)*Z90/Y90)</f>
        <v/>
      </c>
      <c r="AE90" s="27">
        <f>IF(OR(AB90="",AB90=0,AC90=""),"",AC90/AB90)</f>
        <v/>
      </c>
      <c r="AF90" s="27">
        <f>IF(OR(AB90="",AB90=0,AD90=""),"",AD90/AB90)</f>
        <v/>
      </c>
      <c r="AG90" s="27">
        <f>IF(OR(C90="",P90=""),"",((P90+IF(Q90="",0,Q90))-(C90+IF(D90="",0,D90)))*24)</f>
        <v/>
      </c>
      <c r="AH90" s="18">
        <f>IF(AG90="","",INT(AG90/24)&amp;"d "&amp;INT(MOD(AG90,24))&amp;"h "&amp;INT(MOD(AG90*60,60))&amp;"m")</f>
        <v/>
      </c>
      <c r="AI90" s="28">
        <f>IF(OR(O90="",K90="",H90=""),"",IF(OR(E90="XAUUSD",RIGHT(E90,3)="USD"),(O90-K90)*Z90*AA90*H90,IF(LEFT(E90,3)="USD",IF(O90=0,"",(O90-K90)*Z90*AA90*H90/O90),AD90*10*H90)))</f>
        <v/>
      </c>
      <c r="AJ90" s="28">
        <f>IF(O90="","",IF(S90="",IF(AI90="",0,AI90),S90)-IF(R90="",0,R90))</f>
        <v/>
      </c>
      <c r="AK90" s="18">
        <f>IF(C90="","",IF(OR(O90="",P90=""),"Open",IF(ABS(AJ90)&lt;=BEThreshold,"BE",IF(AJ90&gt;0,"Win","Loss"))))</f>
        <v/>
      </c>
      <c r="AL90" s="28">
        <f>IF(OR(C90="",AK90="Open"),"",InitialCapital+SUMIFS($AJ$2:AJ90,$AK$2:AK90,"&lt;&gt;Open"))</f>
        <v/>
      </c>
      <c r="AM90" s="18">
        <f>IF(OR(C90="",AK90=""),"",IF(AK90="Open","No","Yes"))</f>
        <v/>
      </c>
    </row>
    <row r="91" ht="18" customHeight="1">
      <c r="A91" s="18">
        <f>IF(C91="","",COUNTA($C$2:C91))</f>
        <v/>
      </c>
      <c r="B91" s="18">
        <f>IF(C91="","",TEXT(C91,"dddd"))</f>
        <v/>
      </c>
      <c r="C91" s="19" t="n"/>
      <c r="D91" s="20" t="n"/>
      <c r="E91" s="21" t="n"/>
      <c r="F91" s="21" t="n"/>
      <c r="G91" s="21" t="n"/>
      <c r="H91" s="22" t="n"/>
      <c r="I91" s="23" t="n"/>
      <c r="J91" s="22" t="n"/>
      <c r="K91" s="24" t="n"/>
      <c r="L91" s="24" t="n"/>
      <c r="M91" s="24" t="n"/>
      <c r="N91" s="21" t="n"/>
      <c r="O91" s="24" t="n"/>
      <c r="P91" s="19" t="n"/>
      <c r="Q91" s="20" t="n"/>
      <c r="R91" s="23" t="n"/>
      <c r="S91" s="23" t="n"/>
      <c r="T91" s="21" t="n"/>
      <c r="U91" s="21" t="n"/>
      <c r="V91" s="21" t="n"/>
      <c r="W91" s="21" t="n"/>
      <c r="X91" s="21" t="n"/>
      <c r="Y91" s="25">
        <f>IF($C91="","",IF(E91="XAUUSD",0.1,IF(ISNUMBER(SEARCH("JPY",E91)),0.01,0.0001)))</f>
        <v/>
      </c>
      <c r="Z91" s="18">
        <f>IF($C91="","",IF(F91="Sell",-1,1))</f>
        <v/>
      </c>
      <c r="AA91" s="18">
        <f>IF($C91="","",IF(E91="XAUUSD",100,100000))</f>
        <v/>
      </c>
      <c r="AB91" s="26">
        <f>IF(OR(K91="",L91=""),"",ABS(K91-L91)/Y91)</f>
        <v/>
      </c>
      <c r="AC91" s="26">
        <f>IF(OR(K91="",M91=""),"",ABS(M91-K91)/Y91)</f>
        <v/>
      </c>
      <c r="AD91" s="26">
        <f>IF(OR(K91="",O91=""),"",(O91-K91)*Z91/Y91)</f>
        <v/>
      </c>
      <c r="AE91" s="27">
        <f>IF(OR(AB91="",AB91=0,AC91=""),"",AC91/AB91)</f>
        <v/>
      </c>
      <c r="AF91" s="27">
        <f>IF(OR(AB91="",AB91=0,AD91=""),"",AD91/AB91)</f>
        <v/>
      </c>
      <c r="AG91" s="27">
        <f>IF(OR(C91="",P91=""),"",((P91+IF(Q91="",0,Q91))-(C91+IF(D91="",0,D91)))*24)</f>
        <v/>
      </c>
      <c r="AH91" s="18">
        <f>IF(AG91="","",INT(AG91/24)&amp;"d "&amp;INT(MOD(AG91,24))&amp;"h "&amp;INT(MOD(AG91*60,60))&amp;"m")</f>
        <v/>
      </c>
      <c r="AI91" s="28">
        <f>IF(OR(O91="",K91="",H91=""),"",IF(OR(E91="XAUUSD",RIGHT(E91,3)="USD"),(O91-K91)*Z91*AA91*H91,IF(LEFT(E91,3)="USD",IF(O91=0,"",(O91-K91)*Z91*AA91*H91/O91),AD91*10*H91)))</f>
        <v/>
      </c>
      <c r="AJ91" s="28">
        <f>IF(O91="","",IF(S91="",IF(AI91="",0,AI91),S91)-IF(R91="",0,R91))</f>
        <v/>
      </c>
      <c r="AK91" s="18">
        <f>IF(C91="","",IF(OR(O91="",P91=""),"Open",IF(ABS(AJ91)&lt;=BEThreshold,"BE",IF(AJ91&gt;0,"Win","Loss"))))</f>
        <v/>
      </c>
      <c r="AL91" s="28">
        <f>IF(OR(C91="",AK91="Open"),"",InitialCapital+SUMIFS($AJ$2:AJ91,$AK$2:AK91,"&lt;&gt;Open"))</f>
        <v/>
      </c>
      <c r="AM91" s="18">
        <f>IF(OR(C91="",AK91=""),"",IF(AK91="Open","No","Yes"))</f>
        <v/>
      </c>
    </row>
    <row r="92" ht="18" customHeight="1">
      <c r="A92" s="18">
        <f>IF(C92="","",COUNTA($C$2:C92))</f>
        <v/>
      </c>
      <c r="B92" s="18">
        <f>IF(C92="","",TEXT(C92,"dddd"))</f>
        <v/>
      </c>
      <c r="C92" s="19" t="n"/>
      <c r="D92" s="20" t="n"/>
      <c r="E92" s="21" t="n"/>
      <c r="F92" s="21" t="n"/>
      <c r="G92" s="21" t="n"/>
      <c r="H92" s="22" t="n"/>
      <c r="I92" s="23" t="n"/>
      <c r="J92" s="22" t="n"/>
      <c r="K92" s="24" t="n"/>
      <c r="L92" s="24" t="n"/>
      <c r="M92" s="24" t="n"/>
      <c r="N92" s="21" t="n"/>
      <c r="O92" s="24" t="n"/>
      <c r="P92" s="19" t="n"/>
      <c r="Q92" s="20" t="n"/>
      <c r="R92" s="23" t="n"/>
      <c r="S92" s="23" t="n"/>
      <c r="T92" s="21" t="n"/>
      <c r="U92" s="21" t="n"/>
      <c r="V92" s="21" t="n"/>
      <c r="W92" s="21" t="n"/>
      <c r="X92" s="21" t="n"/>
      <c r="Y92" s="25">
        <f>IF($C92="","",IF(E92="XAUUSD",0.1,IF(ISNUMBER(SEARCH("JPY",E92)),0.01,0.0001)))</f>
        <v/>
      </c>
      <c r="Z92" s="18">
        <f>IF($C92="","",IF(F92="Sell",-1,1))</f>
        <v/>
      </c>
      <c r="AA92" s="18">
        <f>IF($C92="","",IF(E92="XAUUSD",100,100000))</f>
        <v/>
      </c>
      <c r="AB92" s="26">
        <f>IF(OR(K92="",L92=""),"",ABS(K92-L92)/Y92)</f>
        <v/>
      </c>
      <c r="AC92" s="26">
        <f>IF(OR(K92="",M92=""),"",ABS(M92-K92)/Y92)</f>
        <v/>
      </c>
      <c r="AD92" s="26">
        <f>IF(OR(K92="",O92=""),"",(O92-K92)*Z92/Y92)</f>
        <v/>
      </c>
      <c r="AE92" s="27">
        <f>IF(OR(AB92="",AB92=0,AC92=""),"",AC92/AB92)</f>
        <v/>
      </c>
      <c r="AF92" s="27">
        <f>IF(OR(AB92="",AB92=0,AD92=""),"",AD92/AB92)</f>
        <v/>
      </c>
      <c r="AG92" s="27">
        <f>IF(OR(C92="",P92=""),"",((P92+IF(Q92="",0,Q92))-(C92+IF(D92="",0,D92)))*24)</f>
        <v/>
      </c>
      <c r="AH92" s="18">
        <f>IF(AG92="","",INT(AG92/24)&amp;"d "&amp;INT(MOD(AG92,24))&amp;"h "&amp;INT(MOD(AG92*60,60))&amp;"m")</f>
        <v/>
      </c>
      <c r="AI92" s="28">
        <f>IF(OR(O92="",K92="",H92=""),"",IF(OR(E92="XAUUSD",RIGHT(E92,3)="USD"),(O92-K92)*Z92*AA92*H92,IF(LEFT(E92,3)="USD",IF(O92=0,"",(O92-K92)*Z92*AA92*H92/O92),AD92*10*H92)))</f>
        <v/>
      </c>
      <c r="AJ92" s="28">
        <f>IF(O92="","",IF(S92="",IF(AI92="",0,AI92),S92)-IF(R92="",0,R92))</f>
        <v/>
      </c>
      <c r="AK92" s="18">
        <f>IF(C92="","",IF(OR(O92="",P92=""),"Open",IF(ABS(AJ92)&lt;=BEThreshold,"BE",IF(AJ92&gt;0,"Win","Loss"))))</f>
        <v/>
      </c>
      <c r="AL92" s="28">
        <f>IF(OR(C92="",AK92="Open"),"",InitialCapital+SUMIFS($AJ$2:AJ92,$AK$2:AK92,"&lt;&gt;Open"))</f>
        <v/>
      </c>
      <c r="AM92" s="18">
        <f>IF(OR(C92="",AK92=""),"",IF(AK92="Open","No","Yes"))</f>
        <v/>
      </c>
    </row>
    <row r="93" ht="18" customHeight="1">
      <c r="A93" s="18">
        <f>IF(C93="","",COUNTA($C$2:C93))</f>
        <v/>
      </c>
      <c r="B93" s="18">
        <f>IF(C93="","",TEXT(C93,"dddd"))</f>
        <v/>
      </c>
      <c r="C93" s="19" t="n"/>
      <c r="D93" s="20" t="n"/>
      <c r="E93" s="21" t="n"/>
      <c r="F93" s="21" t="n"/>
      <c r="G93" s="21" t="n"/>
      <c r="H93" s="22" t="n"/>
      <c r="I93" s="23" t="n"/>
      <c r="J93" s="22" t="n"/>
      <c r="K93" s="24" t="n"/>
      <c r="L93" s="24" t="n"/>
      <c r="M93" s="24" t="n"/>
      <c r="N93" s="21" t="n"/>
      <c r="O93" s="24" t="n"/>
      <c r="P93" s="19" t="n"/>
      <c r="Q93" s="20" t="n"/>
      <c r="R93" s="23" t="n"/>
      <c r="S93" s="23" t="n"/>
      <c r="T93" s="21" t="n"/>
      <c r="U93" s="21" t="n"/>
      <c r="V93" s="21" t="n"/>
      <c r="W93" s="21" t="n"/>
      <c r="X93" s="21" t="n"/>
      <c r="Y93" s="25">
        <f>IF($C93="","",IF(E93="XAUUSD",0.1,IF(ISNUMBER(SEARCH("JPY",E93)),0.01,0.0001)))</f>
        <v/>
      </c>
      <c r="Z93" s="18">
        <f>IF($C93="","",IF(F93="Sell",-1,1))</f>
        <v/>
      </c>
      <c r="AA93" s="18">
        <f>IF($C93="","",IF(E93="XAUUSD",100,100000))</f>
        <v/>
      </c>
      <c r="AB93" s="26">
        <f>IF(OR(K93="",L93=""),"",ABS(K93-L93)/Y93)</f>
        <v/>
      </c>
      <c r="AC93" s="26">
        <f>IF(OR(K93="",M93=""),"",ABS(M93-K93)/Y93)</f>
        <v/>
      </c>
      <c r="AD93" s="26">
        <f>IF(OR(K93="",O93=""),"",(O93-K93)*Z93/Y93)</f>
        <v/>
      </c>
      <c r="AE93" s="27">
        <f>IF(OR(AB93="",AB93=0,AC93=""),"",AC93/AB93)</f>
        <v/>
      </c>
      <c r="AF93" s="27">
        <f>IF(OR(AB93="",AB93=0,AD93=""),"",AD93/AB93)</f>
        <v/>
      </c>
      <c r="AG93" s="27">
        <f>IF(OR(C93="",P93=""),"",((P93+IF(Q93="",0,Q93))-(C93+IF(D93="",0,D93)))*24)</f>
        <v/>
      </c>
      <c r="AH93" s="18">
        <f>IF(AG93="","",INT(AG93/24)&amp;"d "&amp;INT(MOD(AG93,24))&amp;"h "&amp;INT(MOD(AG93*60,60))&amp;"m")</f>
        <v/>
      </c>
      <c r="AI93" s="28">
        <f>IF(OR(O93="",K93="",H93=""),"",IF(OR(E93="XAUUSD",RIGHT(E93,3)="USD"),(O93-K93)*Z93*AA93*H93,IF(LEFT(E93,3)="USD",IF(O93=0,"",(O93-K93)*Z93*AA93*H93/O93),AD93*10*H93)))</f>
        <v/>
      </c>
      <c r="AJ93" s="28">
        <f>IF(O93="","",IF(S93="",IF(AI93="",0,AI93),S93)-IF(R93="",0,R93))</f>
        <v/>
      </c>
      <c r="AK93" s="18">
        <f>IF(C93="","",IF(OR(O93="",P93=""),"Open",IF(ABS(AJ93)&lt;=BEThreshold,"BE",IF(AJ93&gt;0,"Win","Loss"))))</f>
        <v/>
      </c>
      <c r="AL93" s="28">
        <f>IF(OR(C93="",AK93="Open"),"",InitialCapital+SUMIFS($AJ$2:AJ93,$AK$2:AK93,"&lt;&gt;Open"))</f>
        <v/>
      </c>
      <c r="AM93" s="18">
        <f>IF(OR(C93="",AK93=""),"",IF(AK93="Open","No","Yes"))</f>
        <v/>
      </c>
    </row>
    <row r="94" ht="18" customHeight="1">
      <c r="A94" s="18">
        <f>IF(C94="","",COUNTA($C$2:C94))</f>
        <v/>
      </c>
      <c r="B94" s="18">
        <f>IF(C94="","",TEXT(C94,"dddd"))</f>
        <v/>
      </c>
      <c r="C94" s="19" t="n"/>
      <c r="D94" s="20" t="n"/>
      <c r="E94" s="21" t="n"/>
      <c r="F94" s="21" t="n"/>
      <c r="G94" s="21" t="n"/>
      <c r="H94" s="22" t="n"/>
      <c r="I94" s="23" t="n"/>
      <c r="J94" s="22" t="n"/>
      <c r="K94" s="24" t="n"/>
      <c r="L94" s="24" t="n"/>
      <c r="M94" s="24" t="n"/>
      <c r="N94" s="21" t="n"/>
      <c r="O94" s="24" t="n"/>
      <c r="P94" s="19" t="n"/>
      <c r="Q94" s="20" t="n"/>
      <c r="R94" s="23" t="n"/>
      <c r="S94" s="23" t="n"/>
      <c r="T94" s="21" t="n"/>
      <c r="U94" s="21" t="n"/>
      <c r="V94" s="21" t="n"/>
      <c r="W94" s="21" t="n"/>
      <c r="X94" s="21" t="n"/>
      <c r="Y94" s="25">
        <f>IF($C94="","",IF(E94="XAUUSD",0.1,IF(ISNUMBER(SEARCH("JPY",E94)),0.01,0.0001)))</f>
        <v/>
      </c>
      <c r="Z94" s="18">
        <f>IF($C94="","",IF(F94="Sell",-1,1))</f>
        <v/>
      </c>
      <c r="AA94" s="18">
        <f>IF($C94="","",IF(E94="XAUUSD",100,100000))</f>
        <v/>
      </c>
      <c r="AB94" s="26">
        <f>IF(OR(K94="",L94=""),"",ABS(K94-L94)/Y94)</f>
        <v/>
      </c>
      <c r="AC94" s="26">
        <f>IF(OR(K94="",M94=""),"",ABS(M94-K94)/Y94)</f>
        <v/>
      </c>
      <c r="AD94" s="26">
        <f>IF(OR(K94="",O94=""),"",(O94-K94)*Z94/Y94)</f>
        <v/>
      </c>
      <c r="AE94" s="27">
        <f>IF(OR(AB94="",AB94=0,AC94=""),"",AC94/AB94)</f>
        <v/>
      </c>
      <c r="AF94" s="27">
        <f>IF(OR(AB94="",AB94=0,AD94=""),"",AD94/AB94)</f>
        <v/>
      </c>
      <c r="AG94" s="27">
        <f>IF(OR(C94="",P94=""),"",((P94+IF(Q94="",0,Q94))-(C94+IF(D94="",0,D94)))*24)</f>
        <v/>
      </c>
      <c r="AH94" s="18">
        <f>IF(AG94="","",INT(AG94/24)&amp;"d "&amp;INT(MOD(AG94,24))&amp;"h "&amp;INT(MOD(AG94*60,60))&amp;"m")</f>
        <v/>
      </c>
      <c r="AI94" s="28">
        <f>IF(OR(O94="",K94="",H94=""),"",IF(OR(E94="XAUUSD",RIGHT(E94,3)="USD"),(O94-K94)*Z94*AA94*H94,IF(LEFT(E94,3)="USD",IF(O94=0,"",(O94-K94)*Z94*AA94*H94/O94),AD94*10*H94)))</f>
        <v/>
      </c>
      <c r="AJ94" s="28">
        <f>IF(O94="","",IF(S94="",IF(AI94="",0,AI94),S94)-IF(R94="",0,R94))</f>
        <v/>
      </c>
      <c r="AK94" s="18">
        <f>IF(C94="","",IF(OR(O94="",P94=""),"Open",IF(ABS(AJ94)&lt;=BEThreshold,"BE",IF(AJ94&gt;0,"Win","Loss"))))</f>
        <v/>
      </c>
      <c r="AL94" s="28">
        <f>IF(OR(C94="",AK94="Open"),"",InitialCapital+SUMIFS($AJ$2:AJ94,$AK$2:AK94,"&lt;&gt;Open"))</f>
        <v/>
      </c>
      <c r="AM94" s="18">
        <f>IF(OR(C94="",AK94=""),"",IF(AK94="Open","No","Yes"))</f>
        <v/>
      </c>
    </row>
    <row r="95" ht="18" customHeight="1">
      <c r="A95" s="18">
        <f>IF(C95="","",COUNTA($C$2:C95))</f>
        <v/>
      </c>
      <c r="B95" s="18">
        <f>IF(C95="","",TEXT(C95,"dddd"))</f>
        <v/>
      </c>
      <c r="C95" s="19" t="n"/>
      <c r="D95" s="20" t="n"/>
      <c r="E95" s="21" t="n"/>
      <c r="F95" s="21" t="n"/>
      <c r="G95" s="21" t="n"/>
      <c r="H95" s="22" t="n"/>
      <c r="I95" s="23" t="n"/>
      <c r="J95" s="22" t="n"/>
      <c r="K95" s="24" t="n"/>
      <c r="L95" s="24" t="n"/>
      <c r="M95" s="24" t="n"/>
      <c r="N95" s="21" t="n"/>
      <c r="O95" s="24" t="n"/>
      <c r="P95" s="19" t="n"/>
      <c r="Q95" s="20" t="n"/>
      <c r="R95" s="23" t="n"/>
      <c r="S95" s="23" t="n"/>
      <c r="T95" s="21" t="n"/>
      <c r="U95" s="21" t="n"/>
      <c r="V95" s="21" t="n"/>
      <c r="W95" s="21" t="n"/>
      <c r="X95" s="21" t="n"/>
      <c r="Y95" s="25">
        <f>IF($C95="","",IF(E95="XAUUSD",0.1,IF(ISNUMBER(SEARCH("JPY",E95)),0.01,0.0001)))</f>
        <v/>
      </c>
      <c r="Z95" s="18">
        <f>IF($C95="","",IF(F95="Sell",-1,1))</f>
        <v/>
      </c>
      <c r="AA95" s="18">
        <f>IF($C95="","",IF(E95="XAUUSD",100,100000))</f>
        <v/>
      </c>
      <c r="AB95" s="26">
        <f>IF(OR(K95="",L95=""),"",ABS(K95-L95)/Y95)</f>
        <v/>
      </c>
      <c r="AC95" s="26">
        <f>IF(OR(K95="",M95=""),"",ABS(M95-K95)/Y95)</f>
        <v/>
      </c>
      <c r="AD95" s="26">
        <f>IF(OR(K95="",O95=""),"",(O95-K95)*Z95/Y95)</f>
        <v/>
      </c>
      <c r="AE95" s="27">
        <f>IF(OR(AB95="",AB95=0,AC95=""),"",AC95/AB95)</f>
        <v/>
      </c>
      <c r="AF95" s="27">
        <f>IF(OR(AB95="",AB95=0,AD95=""),"",AD95/AB95)</f>
        <v/>
      </c>
      <c r="AG95" s="27">
        <f>IF(OR(C95="",P95=""),"",((P95+IF(Q95="",0,Q95))-(C95+IF(D95="",0,D95)))*24)</f>
        <v/>
      </c>
      <c r="AH95" s="18">
        <f>IF(AG95="","",INT(AG95/24)&amp;"d "&amp;INT(MOD(AG95,24))&amp;"h "&amp;INT(MOD(AG95*60,60))&amp;"m")</f>
        <v/>
      </c>
      <c r="AI95" s="28">
        <f>IF(OR(O95="",K95="",H95=""),"",IF(OR(E95="XAUUSD",RIGHT(E95,3)="USD"),(O95-K95)*Z95*AA95*H95,IF(LEFT(E95,3)="USD",IF(O95=0,"",(O95-K95)*Z95*AA95*H95/O95),AD95*10*H95)))</f>
        <v/>
      </c>
      <c r="AJ95" s="28">
        <f>IF(O95="","",IF(S95="",IF(AI95="",0,AI95),S95)-IF(R95="",0,R95))</f>
        <v/>
      </c>
      <c r="AK95" s="18">
        <f>IF(C95="","",IF(OR(O95="",P95=""),"Open",IF(ABS(AJ95)&lt;=BEThreshold,"BE",IF(AJ95&gt;0,"Win","Loss"))))</f>
        <v/>
      </c>
      <c r="AL95" s="28">
        <f>IF(OR(C95="",AK95="Open"),"",InitialCapital+SUMIFS($AJ$2:AJ95,$AK$2:AK95,"&lt;&gt;Open"))</f>
        <v/>
      </c>
      <c r="AM95" s="18">
        <f>IF(OR(C95="",AK95=""),"",IF(AK95="Open","No","Yes"))</f>
        <v/>
      </c>
    </row>
    <row r="96" ht="18" customHeight="1">
      <c r="A96" s="18">
        <f>IF(C96="","",COUNTA($C$2:C96))</f>
        <v/>
      </c>
      <c r="B96" s="18">
        <f>IF(C96="","",TEXT(C96,"dddd"))</f>
        <v/>
      </c>
      <c r="C96" s="19" t="n"/>
      <c r="D96" s="20" t="n"/>
      <c r="E96" s="21" t="n"/>
      <c r="F96" s="21" t="n"/>
      <c r="G96" s="21" t="n"/>
      <c r="H96" s="22" t="n"/>
      <c r="I96" s="23" t="n"/>
      <c r="J96" s="22" t="n"/>
      <c r="K96" s="24" t="n"/>
      <c r="L96" s="24" t="n"/>
      <c r="M96" s="24" t="n"/>
      <c r="N96" s="21" t="n"/>
      <c r="O96" s="24" t="n"/>
      <c r="P96" s="19" t="n"/>
      <c r="Q96" s="20" t="n"/>
      <c r="R96" s="23" t="n"/>
      <c r="S96" s="23" t="n"/>
      <c r="T96" s="21" t="n"/>
      <c r="U96" s="21" t="n"/>
      <c r="V96" s="21" t="n"/>
      <c r="W96" s="21" t="n"/>
      <c r="X96" s="21" t="n"/>
      <c r="Y96" s="25">
        <f>IF($C96="","",IF(E96="XAUUSD",0.1,IF(ISNUMBER(SEARCH("JPY",E96)),0.01,0.0001)))</f>
        <v/>
      </c>
      <c r="Z96" s="18">
        <f>IF($C96="","",IF(F96="Sell",-1,1))</f>
        <v/>
      </c>
      <c r="AA96" s="18">
        <f>IF($C96="","",IF(E96="XAUUSD",100,100000))</f>
        <v/>
      </c>
      <c r="AB96" s="26">
        <f>IF(OR(K96="",L96=""),"",ABS(K96-L96)/Y96)</f>
        <v/>
      </c>
      <c r="AC96" s="26">
        <f>IF(OR(K96="",M96=""),"",ABS(M96-K96)/Y96)</f>
        <v/>
      </c>
      <c r="AD96" s="26">
        <f>IF(OR(K96="",O96=""),"",(O96-K96)*Z96/Y96)</f>
        <v/>
      </c>
      <c r="AE96" s="27">
        <f>IF(OR(AB96="",AB96=0,AC96=""),"",AC96/AB96)</f>
        <v/>
      </c>
      <c r="AF96" s="27">
        <f>IF(OR(AB96="",AB96=0,AD96=""),"",AD96/AB96)</f>
        <v/>
      </c>
      <c r="AG96" s="27">
        <f>IF(OR(C96="",P96=""),"",((P96+IF(Q96="",0,Q96))-(C96+IF(D96="",0,D96)))*24)</f>
        <v/>
      </c>
      <c r="AH96" s="18">
        <f>IF(AG96="","",INT(AG96/24)&amp;"d "&amp;INT(MOD(AG96,24))&amp;"h "&amp;INT(MOD(AG96*60,60))&amp;"m")</f>
        <v/>
      </c>
      <c r="AI96" s="28">
        <f>IF(OR(O96="",K96="",H96=""),"",IF(OR(E96="XAUUSD",RIGHT(E96,3)="USD"),(O96-K96)*Z96*AA96*H96,IF(LEFT(E96,3)="USD",IF(O96=0,"",(O96-K96)*Z96*AA96*H96/O96),AD96*10*H96)))</f>
        <v/>
      </c>
      <c r="AJ96" s="28">
        <f>IF(O96="","",IF(S96="",IF(AI96="",0,AI96),S96)-IF(R96="",0,R96))</f>
        <v/>
      </c>
      <c r="AK96" s="18">
        <f>IF(C96="","",IF(OR(O96="",P96=""),"Open",IF(ABS(AJ96)&lt;=BEThreshold,"BE",IF(AJ96&gt;0,"Win","Loss"))))</f>
        <v/>
      </c>
      <c r="AL96" s="28">
        <f>IF(OR(C96="",AK96="Open"),"",InitialCapital+SUMIFS($AJ$2:AJ96,$AK$2:AK96,"&lt;&gt;Open"))</f>
        <v/>
      </c>
      <c r="AM96" s="18">
        <f>IF(OR(C96="",AK96=""),"",IF(AK96="Open","No","Yes"))</f>
        <v/>
      </c>
    </row>
    <row r="97" ht="18" customHeight="1">
      <c r="A97" s="18">
        <f>IF(C97="","",COUNTA($C$2:C97))</f>
        <v/>
      </c>
      <c r="B97" s="18">
        <f>IF(C97="","",TEXT(C97,"dddd"))</f>
        <v/>
      </c>
      <c r="C97" s="19" t="n"/>
      <c r="D97" s="20" t="n"/>
      <c r="E97" s="21" t="n"/>
      <c r="F97" s="21" t="n"/>
      <c r="G97" s="21" t="n"/>
      <c r="H97" s="22" t="n"/>
      <c r="I97" s="23" t="n"/>
      <c r="J97" s="22" t="n"/>
      <c r="K97" s="24" t="n"/>
      <c r="L97" s="24" t="n"/>
      <c r="M97" s="24" t="n"/>
      <c r="N97" s="21" t="n"/>
      <c r="O97" s="24" t="n"/>
      <c r="P97" s="19" t="n"/>
      <c r="Q97" s="20" t="n"/>
      <c r="R97" s="23" t="n"/>
      <c r="S97" s="23" t="n"/>
      <c r="T97" s="21" t="n"/>
      <c r="U97" s="21" t="n"/>
      <c r="V97" s="21" t="n"/>
      <c r="W97" s="21" t="n"/>
      <c r="X97" s="21" t="n"/>
      <c r="Y97" s="25">
        <f>IF($C97="","",IF(E97="XAUUSD",0.1,IF(ISNUMBER(SEARCH("JPY",E97)),0.01,0.0001)))</f>
        <v/>
      </c>
      <c r="Z97" s="18">
        <f>IF($C97="","",IF(F97="Sell",-1,1))</f>
        <v/>
      </c>
      <c r="AA97" s="18">
        <f>IF($C97="","",IF(E97="XAUUSD",100,100000))</f>
        <v/>
      </c>
      <c r="AB97" s="26">
        <f>IF(OR(K97="",L97=""),"",ABS(K97-L97)/Y97)</f>
        <v/>
      </c>
      <c r="AC97" s="26">
        <f>IF(OR(K97="",M97=""),"",ABS(M97-K97)/Y97)</f>
        <v/>
      </c>
      <c r="AD97" s="26">
        <f>IF(OR(K97="",O97=""),"",(O97-K97)*Z97/Y97)</f>
        <v/>
      </c>
      <c r="AE97" s="27">
        <f>IF(OR(AB97="",AB97=0,AC97=""),"",AC97/AB97)</f>
        <v/>
      </c>
      <c r="AF97" s="27">
        <f>IF(OR(AB97="",AB97=0,AD97=""),"",AD97/AB97)</f>
        <v/>
      </c>
      <c r="AG97" s="27">
        <f>IF(OR(C97="",P97=""),"",((P97+IF(Q97="",0,Q97))-(C97+IF(D97="",0,D97)))*24)</f>
        <v/>
      </c>
      <c r="AH97" s="18">
        <f>IF(AG97="","",INT(AG97/24)&amp;"d "&amp;INT(MOD(AG97,24))&amp;"h "&amp;INT(MOD(AG97*60,60))&amp;"m")</f>
        <v/>
      </c>
      <c r="AI97" s="28">
        <f>IF(OR(O97="",K97="",H97=""),"",IF(OR(E97="XAUUSD",RIGHT(E97,3)="USD"),(O97-K97)*Z97*AA97*H97,IF(LEFT(E97,3)="USD",IF(O97=0,"",(O97-K97)*Z97*AA97*H97/O97),AD97*10*H97)))</f>
        <v/>
      </c>
      <c r="AJ97" s="28">
        <f>IF(O97="","",IF(S97="",IF(AI97="",0,AI97),S97)-IF(R97="",0,R97))</f>
        <v/>
      </c>
      <c r="AK97" s="18">
        <f>IF(C97="","",IF(OR(O97="",P97=""),"Open",IF(ABS(AJ97)&lt;=BEThreshold,"BE",IF(AJ97&gt;0,"Win","Loss"))))</f>
        <v/>
      </c>
      <c r="AL97" s="28">
        <f>IF(OR(C97="",AK97="Open"),"",InitialCapital+SUMIFS($AJ$2:AJ97,$AK$2:AK97,"&lt;&gt;Open"))</f>
        <v/>
      </c>
      <c r="AM97" s="18">
        <f>IF(OR(C97="",AK97=""),"",IF(AK97="Open","No","Yes"))</f>
        <v/>
      </c>
    </row>
    <row r="98" ht="18" customHeight="1">
      <c r="A98" s="18">
        <f>IF(C98="","",COUNTA($C$2:C98))</f>
        <v/>
      </c>
      <c r="B98" s="18">
        <f>IF(C98="","",TEXT(C98,"dddd"))</f>
        <v/>
      </c>
      <c r="C98" s="19" t="n"/>
      <c r="D98" s="20" t="n"/>
      <c r="E98" s="21" t="n"/>
      <c r="F98" s="21" t="n"/>
      <c r="G98" s="21" t="n"/>
      <c r="H98" s="22" t="n"/>
      <c r="I98" s="23" t="n"/>
      <c r="J98" s="22" t="n"/>
      <c r="K98" s="24" t="n"/>
      <c r="L98" s="24" t="n"/>
      <c r="M98" s="24" t="n"/>
      <c r="N98" s="21" t="n"/>
      <c r="O98" s="24" t="n"/>
      <c r="P98" s="19" t="n"/>
      <c r="Q98" s="20" t="n"/>
      <c r="R98" s="23" t="n"/>
      <c r="S98" s="23" t="n"/>
      <c r="T98" s="21" t="n"/>
      <c r="U98" s="21" t="n"/>
      <c r="V98" s="21" t="n"/>
      <c r="W98" s="21" t="n"/>
      <c r="X98" s="21" t="n"/>
      <c r="Y98" s="25">
        <f>IF($C98="","",IF(E98="XAUUSD",0.1,IF(ISNUMBER(SEARCH("JPY",E98)),0.01,0.0001)))</f>
        <v/>
      </c>
      <c r="Z98" s="18">
        <f>IF($C98="","",IF(F98="Sell",-1,1))</f>
        <v/>
      </c>
      <c r="AA98" s="18">
        <f>IF($C98="","",IF(E98="XAUUSD",100,100000))</f>
        <v/>
      </c>
      <c r="AB98" s="26">
        <f>IF(OR(K98="",L98=""),"",ABS(K98-L98)/Y98)</f>
        <v/>
      </c>
      <c r="AC98" s="26">
        <f>IF(OR(K98="",M98=""),"",ABS(M98-K98)/Y98)</f>
        <v/>
      </c>
      <c r="AD98" s="26">
        <f>IF(OR(K98="",O98=""),"",(O98-K98)*Z98/Y98)</f>
        <v/>
      </c>
      <c r="AE98" s="27">
        <f>IF(OR(AB98="",AB98=0,AC98=""),"",AC98/AB98)</f>
        <v/>
      </c>
      <c r="AF98" s="27">
        <f>IF(OR(AB98="",AB98=0,AD98=""),"",AD98/AB98)</f>
        <v/>
      </c>
      <c r="AG98" s="27">
        <f>IF(OR(C98="",P98=""),"",((P98+IF(Q98="",0,Q98))-(C98+IF(D98="",0,D98)))*24)</f>
        <v/>
      </c>
      <c r="AH98" s="18">
        <f>IF(AG98="","",INT(AG98/24)&amp;"d "&amp;INT(MOD(AG98,24))&amp;"h "&amp;INT(MOD(AG98*60,60))&amp;"m")</f>
        <v/>
      </c>
      <c r="AI98" s="28">
        <f>IF(OR(O98="",K98="",H98=""),"",IF(OR(E98="XAUUSD",RIGHT(E98,3)="USD"),(O98-K98)*Z98*AA98*H98,IF(LEFT(E98,3)="USD",IF(O98=0,"",(O98-K98)*Z98*AA98*H98/O98),AD98*10*H98)))</f>
        <v/>
      </c>
      <c r="AJ98" s="28">
        <f>IF(O98="","",IF(S98="",IF(AI98="",0,AI98),S98)-IF(R98="",0,R98))</f>
        <v/>
      </c>
      <c r="AK98" s="18">
        <f>IF(C98="","",IF(OR(O98="",P98=""),"Open",IF(ABS(AJ98)&lt;=BEThreshold,"BE",IF(AJ98&gt;0,"Win","Loss"))))</f>
        <v/>
      </c>
      <c r="AL98" s="28">
        <f>IF(OR(C98="",AK98="Open"),"",InitialCapital+SUMIFS($AJ$2:AJ98,$AK$2:AK98,"&lt;&gt;Open"))</f>
        <v/>
      </c>
      <c r="AM98" s="18">
        <f>IF(OR(C98="",AK98=""),"",IF(AK98="Open","No","Yes"))</f>
        <v/>
      </c>
    </row>
    <row r="99" ht="18" customHeight="1">
      <c r="A99" s="18">
        <f>IF(C99="","",COUNTA($C$2:C99))</f>
        <v/>
      </c>
      <c r="B99" s="18">
        <f>IF(C99="","",TEXT(C99,"dddd"))</f>
        <v/>
      </c>
      <c r="C99" s="19" t="n"/>
      <c r="D99" s="20" t="n"/>
      <c r="E99" s="21" t="n"/>
      <c r="F99" s="21" t="n"/>
      <c r="G99" s="21" t="n"/>
      <c r="H99" s="22" t="n"/>
      <c r="I99" s="23" t="n"/>
      <c r="J99" s="22" t="n"/>
      <c r="K99" s="24" t="n"/>
      <c r="L99" s="24" t="n"/>
      <c r="M99" s="24" t="n"/>
      <c r="N99" s="21" t="n"/>
      <c r="O99" s="24" t="n"/>
      <c r="P99" s="19" t="n"/>
      <c r="Q99" s="20" t="n"/>
      <c r="R99" s="23" t="n"/>
      <c r="S99" s="23" t="n"/>
      <c r="T99" s="21" t="n"/>
      <c r="U99" s="21" t="n"/>
      <c r="V99" s="21" t="n"/>
      <c r="W99" s="21" t="n"/>
      <c r="X99" s="21" t="n"/>
      <c r="Y99" s="25">
        <f>IF($C99="","",IF(E99="XAUUSD",0.1,IF(ISNUMBER(SEARCH("JPY",E99)),0.01,0.0001)))</f>
        <v/>
      </c>
      <c r="Z99" s="18">
        <f>IF($C99="","",IF(F99="Sell",-1,1))</f>
        <v/>
      </c>
      <c r="AA99" s="18">
        <f>IF($C99="","",IF(E99="XAUUSD",100,100000))</f>
        <v/>
      </c>
      <c r="AB99" s="26">
        <f>IF(OR(K99="",L99=""),"",ABS(K99-L99)/Y99)</f>
        <v/>
      </c>
      <c r="AC99" s="26">
        <f>IF(OR(K99="",M99=""),"",ABS(M99-K99)/Y99)</f>
        <v/>
      </c>
      <c r="AD99" s="26">
        <f>IF(OR(K99="",O99=""),"",(O99-K99)*Z99/Y99)</f>
        <v/>
      </c>
      <c r="AE99" s="27">
        <f>IF(OR(AB99="",AB99=0,AC99=""),"",AC99/AB99)</f>
        <v/>
      </c>
      <c r="AF99" s="27">
        <f>IF(OR(AB99="",AB99=0,AD99=""),"",AD99/AB99)</f>
        <v/>
      </c>
      <c r="AG99" s="27">
        <f>IF(OR(C99="",P99=""),"",((P99+IF(Q99="",0,Q99))-(C99+IF(D99="",0,D99)))*24)</f>
        <v/>
      </c>
      <c r="AH99" s="18">
        <f>IF(AG99="","",INT(AG99/24)&amp;"d "&amp;INT(MOD(AG99,24))&amp;"h "&amp;INT(MOD(AG99*60,60))&amp;"m")</f>
        <v/>
      </c>
      <c r="AI99" s="28">
        <f>IF(OR(O99="",K99="",H99=""),"",IF(OR(E99="XAUUSD",RIGHT(E99,3)="USD"),(O99-K99)*Z99*AA99*H99,IF(LEFT(E99,3)="USD",IF(O99=0,"",(O99-K99)*Z99*AA99*H99/O99),AD99*10*H99)))</f>
        <v/>
      </c>
      <c r="AJ99" s="28">
        <f>IF(O99="","",IF(S99="",IF(AI99="",0,AI99),S99)-IF(R99="",0,R99))</f>
        <v/>
      </c>
      <c r="AK99" s="18">
        <f>IF(C99="","",IF(OR(O99="",P99=""),"Open",IF(ABS(AJ99)&lt;=BEThreshold,"BE",IF(AJ99&gt;0,"Win","Loss"))))</f>
        <v/>
      </c>
      <c r="AL99" s="28">
        <f>IF(OR(C99="",AK99="Open"),"",InitialCapital+SUMIFS($AJ$2:AJ99,$AK$2:AK99,"&lt;&gt;Open"))</f>
        <v/>
      </c>
      <c r="AM99" s="18">
        <f>IF(OR(C99="",AK99=""),"",IF(AK99="Open","No","Yes"))</f>
        <v/>
      </c>
    </row>
    <row r="100" ht="18" customHeight="1">
      <c r="A100" s="18">
        <f>IF(C100="","",COUNTA($C$2:C100))</f>
        <v/>
      </c>
      <c r="B100" s="18">
        <f>IF(C100="","",TEXT(C100,"dddd"))</f>
        <v/>
      </c>
      <c r="C100" s="19" t="n"/>
      <c r="D100" s="20" t="n"/>
      <c r="E100" s="21" t="n"/>
      <c r="F100" s="21" t="n"/>
      <c r="G100" s="21" t="n"/>
      <c r="H100" s="22" t="n"/>
      <c r="I100" s="23" t="n"/>
      <c r="J100" s="22" t="n"/>
      <c r="K100" s="24" t="n"/>
      <c r="L100" s="24" t="n"/>
      <c r="M100" s="24" t="n"/>
      <c r="N100" s="21" t="n"/>
      <c r="O100" s="24" t="n"/>
      <c r="P100" s="19" t="n"/>
      <c r="Q100" s="20" t="n"/>
      <c r="R100" s="23" t="n"/>
      <c r="S100" s="23" t="n"/>
      <c r="T100" s="21" t="n"/>
      <c r="U100" s="21" t="n"/>
      <c r="V100" s="21" t="n"/>
      <c r="W100" s="21" t="n"/>
      <c r="X100" s="21" t="n"/>
      <c r="Y100" s="25">
        <f>IF($C100="","",IF(E100="XAUUSD",0.1,IF(ISNUMBER(SEARCH("JPY",E100)),0.01,0.0001)))</f>
        <v/>
      </c>
      <c r="Z100" s="18">
        <f>IF($C100="","",IF(F100="Sell",-1,1))</f>
        <v/>
      </c>
      <c r="AA100" s="18">
        <f>IF($C100="","",IF(E100="XAUUSD",100,100000))</f>
        <v/>
      </c>
      <c r="AB100" s="26">
        <f>IF(OR(K100="",L100=""),"",ABS(K100-L100)/Y100)</f>
        <v/>
      </c>
      <c r="AC100" s="26">
        <f>IF(OR(K100="",M100=""),"",ABS(M100-K100)/Y100)</f>
        <v/>
      </c>
      <c r="AD100" s="26">
        <f>IF(OR(K100="",O100=""),"",(O100-K100)*Z100/Y100)</f>
        <v/>
      </c>
      <c r="AE100" s="27">
        <f>IF(OR(AB100="",AB100=0,AC100=""),"",AC100/AB100)</f>
        <v/>
      </c>
      <c r="AF100" s="27">
        <f>IF(OR(AB100="",AB100=0,AD100=""),"",AD100/AB100)</f>
        <v/>
      </c>
      <c r="AG100" s="27">
        <f>IF(OR(C100="",P100=""),"",((P100+IF(Q100="",0,Q100))-(C100+IF(D100="",0,D100)))*24)</f>
        <v/>
      </c>
      <c r="AH100" s="18">
        <f>IF(AG100="","",INT(AG100/24)&amp;"d "&amp;INT(MOD(AG100,24))&amp;"h "&amp;INT(MOD(AG100*60,60))&amp;"m")</f>
        <v/>
      </c>
      <c r="AI100" s="28">
        <f>IF(OR(O100="",K100="",H100=""),"",IF(OR(E100="XAUUSD",RIGHT(E100,3)="USD"),(O100-K100)*Z100*AA100*H100,IF(LEFT(E100,3)="USD",IF(O100=0,"",(O100-K100)*Z100*AA100*H100/O100),AD100*10*H100)))</f>
        <v/>
      </c>
      <c r="AJ100" s="28">
        <f>IF(O100="","",IF(S100="",IF(AI100="",0,AI100),S100)-IF(R100="",0,R100))</f>
        <v/>
      </c>
      <c r="AK100" s="18">
        <f>IF(C100="","",IF(OR(O100="",P100=""),"Open",IF(ABS(AJ100)&lt;=BEThreshold,"BE",IF(AJ100&gt;0,"Win","Loss"))))</f>
        <v/>
      </c>
      <c r="AL100" s="28">
        <f>IF(OR(C100="",AK100="Open"),"",InitialCapital+SUMIFS($AJ$2:AJ100,$AK$2:AK100,"&lt;&gt;Open"))</f>
        <v/>
      </c>
      <c r="AM100" s="18">
        <f>IF(OR(C100="",AK100=""),"",IF(AK100="Open","No","Yes"))</f>
        <v/>
      </c>
    </row>
    <row r="101" ht="18" customHeight="1">
      <c r="A101" s="18">
        <f>IF(C101="","",COUNTA($C$2:C101))</f>
        <v/>
      </c>
      <c r="B101" s="18">
        <f>IF(C101="","",TEXT(C101,"dddd"))</f>
        <v/>
      </c>
      <c r="C101" s="19" t="n"/>
      <c r="D101" s="20" t="n"/>
      <c r="E101" s="21" t="n"/>
      <c r="F101" s="21" t="n"/>
      <c r="G101" s="21" t="n"/>
      <c r="H101" s="22" t="n"/>
      <c r="I101" s="23" t="n"/>
      <c r="J101" s="22" t="n"/>
      <c r="K101" s="24" t="n"/>
      <c r="L101" s="24" t="n"/>
      <c r="M101" s="24" t="n"/>
      <c r="N101" s="21" t="n"/>
      <c r="O101" s="24" t="n"/>
      <c r="P101" s="19" t="n"/>
      <c r="Q101" s="20" t="n"/>
      <c r="R101" s="23" t="n"/>
      <c r="S101" s="23" t="n"/>
      <c r="T101" s="21" t="n"/>
      <c r="U101" s="21" t="n"/>
      <c r="V101" s="21" t="n"/>
      <c r="W101" s="21" t="n"/>
      <c r="X101" s="21" t="n"/>
      <c r="Y101" s="25">
        <f>IF($C101="","",IF(E101="XAUUSD",0.1,IF(ISNUMBER(SEARCH("JPY",E101)),0.01,0.0001)))</f>
        <v/>
      </c>
      <c r="Z101" s="18">
        <f>IF($C101="","",IF(F101="Sell",-1,1))</f>
        <v/>
      </c>
      <c r="AA101" s="18">
        <f>IF($C101="","",IF(E101="XAUUSD",100,100000))</f>
        <v/>
      </c>
      <c r="AB101" s="26">
        <f>IF(OR(K101="",L101=""),"",ABS(K101-L101)/Y101)</f>
        <v/>
      </c>
      <c r="AC101" s="26">
        <f>IF(OR(K101="",M101=""),"",ABS(M101-K101)/Y101)</f>
        <v/>
      </c>
      <c r="AD101" s="26">
        <f>IF(OR(K101="",O101=""),"",(O101-K101)*Z101/Y101)</f>
        <v/>
      </c>
      <c r="AE101" s="27">
        <f>IF(OR(AB101="",AB101=0,AC101=""),"",AC101/AB101)</f>
        <v/>
      </c>
      <c r="AF101" s="27">
        <f>IF(OR(AB101="",AB101=0,AD101=""),"",AD101/AB101)</f>
        <v/>
      </c>
      <c r="AG101" s="27">
        <f>IF(OR(C101="",P101=""),"",((P101+IF(Q101="",0,Q101))-(C101+IF(D101="",0,D101)))*24)</f>
        <v/>
      </c>
      <c r="AH101" s="18">
        <f>IF(AG101="","",INT(AG101/24)&amp;"d "&amp;INT(MOD(AG101,24))&amp;"h "&amp;INT(MOD(AG101*60,60))&amp;"m")</f>
        <v/>
      </c>
      <c r="AI101" s="28">
        <f>IF(OR(O101="",K101="",H101=""),"",IF(OR(E101="XAUUSD",RIGHT(E101,3)="USD"),(O101-K101)*Z101*AA101*H101,IF(LEFT(E101,3)="USD",IF(O101=0,"",(O101-K101)*Z101*AA101*H101/O101),AD101*10*H101)))</f>
        <v/>
      </c>
      <c r="AJ101" s="28">
        <f>IF(O101="","",IF(S101="",IF(AI101="",0,AI101),S101)-IF(R101="",0,R101))</f>
        <v/>
      </c>
      <c r="AK101" s="18">
        <f>IF(C101="","",IF(OR(O101="",P101=""),"Open",IF(ABS(AJ101)&lt;=BEThreshold,"BE",IF(AJ101&gt;0,"Win","Loss"))))</f>
        <v/>
      </c>
      <c r="AL101" s="28">
        <f>IF(OR(C101="",AK101="Open"),"",InitialCapital+SUMIFS($AJ$2:AJ101,$AK$2:AK101,"&lt;&gt;Open"))</f>
        <v/>
      </c>
      <c r="AM101" s="18">
        <f>IF(OR(C101="",AK101=""),"",IF(AK101="Open","No","Yes"))</f>
        <v/>
      </c>
    </row>
    <row r="102" ht="18" customHeight="1">
      <c r="A102" s="18">
        <f>IF(C102="","",COUNTA($C$2:C102))</f>
        <v/>
      </c>
      <c r="B102" s="18">
        <f>IF(C102="","",TEXT(C102,"dddd"))</f>
        <v/>
      </c>
      <c r="C102" s="19" t="n"/>
      <c r="D102" s="20" t="n"/>
      <c r="E102" s="21" t="n"/>
      <c r="F102" s="21" t="n"/>
      <c r="G102" s="21" t="n"/>
      <c r="H102" s="22" t="n"/>
      <c r="I102" s="23" t="n"/>
      <c r="J102" s="22" t="n"/>
      <c r="K102" s="24" t="n"/>
      <c r="L102" s="24" t="n"/>
      <c r="M102" s="24" t="n"/>
      <c r="N102" s="21" t="n"/>
      <c r="O102" s="24" t="n"/>
      <c r="P102" s="19" t="n"/>
      <c r="Q102" s="20" t="n"/>
      <c r="R102" s="23" t="n"/>
      <c r="S102" s="23" t="n"/>
      <c r="T102" s="21" t="n"/>
      <c r="U102" s="21" t="n"/>
      <c r="V102" s="21" t="n"/>
      <c r="W102" s="21" t="n"/>
      <c r="X102" s="21" t="n"/>
      <c r="Y102" s="25">
        <f>IF($C102="","",IF(E102="XAUUSD",0.1,IF(ISNUMBER(SEARCH("JPY",E102)),0.01,0.0001)))</f>
        <v/>
      </c>
      <c r="Z102" s="18">
        <f>IF($C102="","",IF(F102="Sell",-1,1))</f>
        <v/>
      </c>
      <c r="AA102" s="18">
        <f>IF($C102="","",IF(E102="XAUUSD",100,100000))</f>
        <v/>
      </c>
      <c r="AB102" s="26">
        <f>IF(OR(K102="",L102=""),"",ABS(K102-L102)/Y102)</f>
        <v/>
      </c>
      <c r="AC102" s="26">
        <f>IF(OR(K102="",M102=""),"",ABS(M102-K102)/Y102)</f>
        <v/>
      </c>
      <c r="AD102" s="26">
        <f>IF(OR(K102="",O102=""),"",(O102-K102)*Z102/Y102)</f>
        <v/>
      </c>
      <c r="AE102" s="27">
        <f>IF(OR(AB102="",AB102=0,AC102=""),"",AC102/AB102)</f>
        <v/>
      </c>
      <c r="AF102" s="27">
        <f>IF(OR(AB102="",AB102=0,AD102=""),"",AD102/AB102)</f>
        <v/>
      </c>
      <c r="AG102" s="27">
        <f>IF(OR(C102="",P102=""),"",((P102+IF(Q102="",0,Q102))-(C102+IF(D102="",0,D102)))*24)</f>
        <v/>
      </c>
      <c r="AH102" s="18">
        <f>IF(AG102="","",INT(AG102/24)&amp;"d "&amp;INT(MOD(AG102,24))&amp;"h "&amp;INT(MOD(AG102*60,60))&amp;"m")</f>
        <v/>
      </c>
      <c r="AI102" s="28">
        <f>IF(OR(O102="",K102="",H102=""),"",IF(OR(E102="XAUUSD",RIGHT(E102,3)="USD"),(O102-K102)*Z102*AA102*H102,IF(LEFT(E102,3)="USD",IF(O102=0,"",(O102-K102)*Z102*AA102*H102/O102),AD102*10*H102)))</f>
        <v/>
      </c>
      <c r="AJ102" s="28">
        <f>IF(O102="","",IF(S102="",IF(AI102="",0,AI102),S102)-IF(R102="",0,R102))</f>
        <v/>
      </c>
      <c r="AK102" s="18">
        <f>IF(C102="","",IF(OR(O102="",P102=""),"Open",IF(ABS(AJ102)&lt;=BEThreshold,"BE",IF(AJ102&gt;0,"Win","Loss"))))</f>
        <v/>
      </c>
      <c r="AL102" s="28">
        <f>IF(OR(C102="",AK102="Open"),"",InitialCapital+SUMIFS($AJ$2:AJ102,$AK$2:AK102,"&lt;&gt;Open"))</f>
        <v/>
      </c>
      <c r="AM102" s="18">
        <f>IF(OR(C102="",AK102=""),"",IF(AK102="Open","No","Yes"))</f>
        <v/>
      </c>
    </row>
    <row r="103" ht="18" customHeight="1">
      <c r="A103" s="18">
        <f>IF(C103="","",COUNTA($C$2:C103))</f>
        <v/>
      </c>
      <c r="B103" s="18">
        <f>IF(C103="","",TEXT(C103,"dddd"))</f>
        <v/>
      </c>
      <c r="C103" s="19" t="n"/>
      <c r="D103" s="20" t="n"/>
      <c r="E103" s="21" t="n"/>
      <c r="F103" s="21" t="n"/>
      <c r="G103" s="21" t="n"/>
      <c r="H103" s="22" t="n"/>
      <c r="I103" s="23" t="n"/>
      <c r="J103" s="22" t="n"/>
      <c r="K103" s="24" t="n"/>
      <c r="L103" s="24" t="n"/>
      <c r="M103" s="24" t="n"/>
      <c r="N103" s="21" t="n"/>
      <c r="O103" s="24" t="n"/>
      <c r="P103" s="19" t="n"/>
      <c r="Q103" s="20" t="n"/>
      <c r="R103" s="23" t="n"/>
      <c r="S103" s="23" t="n"/>
      <c r="T103" s="21" t="n"/>
      <c r="U103" s="21" t="n"/>
      <c r="V103" s="21" t="n"/>
      <c r="W103" s="21" t="n"/>
      <c r="X103" s="21" t="n"/>
      <c r="Y103" s="25">
        <f>IF($C103="","",IF(E103="XAUUSD",0.1,IF(ISNUMBER(SEARCH("JPY",E103)),0.01,0.0001)))</f>
        <v/>
      </c>
      <c r="Z103" s="18">
        <f>IF($C103="","",IF(F103="Sell",-1,1))</f>
        <v/>
      </c>
      <c r="AA103" s="18">
        <f>IF($C103="","",IF(E103="XAUUSD",100,100000))</f>
        <v/>
      </c>
      <c r="AB103" s="26">
        <f>IF(OR(K103="",L103=""),"",ABS(K103-L103)/Y103)</f>
        <v/>
      </c>
      <c r="AC103" s="26">
        <f>IF(OR(K103="",M103=""),"",ABS(M103-K103)/Y103)</f>
        <v/>
      </c>
      <c r="AD103" s="26">
        <f>IF(OR(K103="",O103=""),"",(O103-K103)*Z103/Y103)</f>
        <v/>
      </c>
      <c r="AE103" s="27">
        <f>IF(OR(AB103="",AB103=0,AC103=""),"",AC103/AB103)</f>
        <v/>
      </c>
      <c r="AF103" s="27">
        <f>IF(OR(AB103="",AB103=0,AD103=""),"",AD103/AB103)</f>
        <v/>
      </c>
      <c r="AG103" s="27">
        <f>IF(OR(C103="",P103=""),"",((P103+IF(Q103="",0,Q103))-(C103+IF(D103="",0,D103)))*24)</f>
        <v/>
      </c>
      <c r="AH103" s="18">
        <f>IF(AG103="","",INT(AG103/24)&amp;"d "&amp;INT(MOD(AG103,24))&amp;"h "&amp;INT(MOD(AG103*60,60))&amp;"m")</f>
        <v/>
      </c>
      <c r="AI103" s="28">
        <f>IF(OR(O103="",K103="",H103=""),"",IF(OR(E103="XAUUSD",RIGHT(E103,3)="USD"),(O103-K103)*Z103*AA103*H103,IF(LEFT(E103,3)="USD",IF(O103=0,"",(O103-K103)*Z103*AA103*H103/O103),AD103*10*H103)))</f>
        <v/>
      </c>
      <c r="AJ103" s="28">
        <f>IF(O103="","",IF(S103="",IF(AI103="",0,AI103),S103)-IF(R103="",0,R103))</f>
        <v/>
      </c>
      <c r="AK103" s="18">
        <f>IF(C103="","",IF(OR(O103="",P103=""),"Open",IF(ABS(AJ103)&lt;=BEThreshold,"BE",IF(AJ103&gt;0,"Win","Loss"))))</f>
        <v/>
      </c>
      <c r="AL103" s="28">
        <f>IF(OR(C103="",AK103="Open"),"",InitialCapital+SUMIFS($AJ$2:AJ103,$AK$2:AK103,"&lt;&gt;Open"))</f>
        <v/>
      </c>
      <c r="AM103" s="18">
        <f>IF(OR(C103="",AK103=""),"",IF(AK103="Open","No","Yes"))</f>
        <v/>
      </c>
    </row>
    <row r="104" ht="18" customHeight="1">
      <c r="A104" s="18">
        <f>IF(C104="","",COUNTA($C$2:C104))</f>
        <v/>
      </c>
      <c r="B104" s="18">
        <f>IF(C104="","",TEXT(C104,"dddd"))</f>
        <v/>
      </c>
      <c r="C104" s="19" t="n"/>
      <c r="D104" s="20" t="n"/>
      <c r="E104" s="21" t="n"/>
      <c r="F104" s="21" t="n"/>
      <c r="G104" s="21" t="n"/>
      <c r="H104" s="22" t="n"/>
      <c r="I104" s="23" t="n"/>
      <c r="J104" s="22" t="n"/>
      <c r="K104" s="24" t="n"/>
      <c r="L104" s="24" t="n"/>
      <c r="M104" s="24" t="n"/>
      <c r="N104" s="21" t="n"/>
      <c r="O104" s="24" t="n"/>
      <c r="P104" s="19" t="n"/>
      <c r="Q104" s="20" t="n"/>
      <c r="R104" s="23" t="n"/>
      <c r="S104" s="23" t="n"/>
      <c r="T104" s="21" t="n"/>
      <c r="U104" s="21" t="n"/>
      <c r="V104" s="21" t="n"/>
      <c r="W104" s="21" t="n"/>
      <c r="X104" s="21" t="n"/>
      <c r="Y104" s="25">
        <f>IF($C104="","",IF(E104="XAUUSD",0.1,IF(ISNUMBER(SEARCH("JPY",E104)),0.01,0.0001)))</f>
        <v/>
      </c>
      <c r="Z104" s="18">
        <f>IF($C104="","",IF(F104="Sell",-1,1))</f>
        <v/>
      </c>
      <c r="AA104" s="18">
        <f>IF($C104="","",IF(E104="XAUUSD",100,100000))</f>
        <v/>
      </c>
      <c r="AB104" s="26">
        <f>IF(OR(K104="",L104=""),"",ABS(K104-L104)/Y104)</f>
        <v/>
      </c>
      <c r="AC104" s="26">
        <f>IF(OR(K104="",M104=""),"",ABS(M104-K104)/Y104)</f>
        <v/>
      </c>
      <c r="AD104" s="26">
        <f>IF(OR(K104="",O104=""),"",(O104-K104)*Z104/Y104)</f>
        <v/>
      </c>
      <c r="AE104" s="27">
        <f>IF(OR(AB104="",AB104=0,AC104=""),"",AC104/AB104)</f>
        <v/>
      </c>
      <c r="AF104" s="27">
        <f>IF(OR(AB104="",AB104=0,AD104=""),"",AD104/AB104)</f>
        <v/>
      </c>
      <c r="AG104" s="27">
        <f>IF(OR(C104="",P104=""),"",((P104+IF(Q104="",0,Q104))-(C104+IF(D104="",0,D104)))*24)</f>
        <v/>
      </c>
      <c r="AH104" s="18">
        <f>IF(AG104="","",INT(AG104/24)&amp;"d "&amp;INT(MOD(AG104,24))&amp;"h "&amp;INT(MOD(AG104*60,60))&amp;"m")</f>
        <v/>
      </c>
      <c r="AI104" s="28">
        <f>IF(OR(O104="",K104="",H104=""),"",IF(OR(E104="XAUUSD",RIGHT(E104,3)="USD"),(O104-K104)*Z104*AA104*H104,IF(LEFT(E104,3)="USD",IF(O104=0,"",(O104-K104)*Z104*AA104*H104/O104),AD104*10*H104)))</f>
        <v/>
      </c>
      <c r="AJ104" s="28">
        <f>IF(O104="","",IF(S104="",IF(AI104="",0,AI104),S104)-IF(R104="",0,R104))</f>
        <v/>
      </c>
      <c r="AK104" s="18">
        <f>IF(C104="","",IF(OR(O104="",P104=""),"Open",IF(ABS(AJ104)&lt;=BEThreshold,"BE",IF(AJ104&gt;0,"Win","Loss"))))</f>
        <v/>
      </c>
      <c r="AL104" s="28">
        <f>IF(OR(C104="",AK104="Open"),"",InitialCapital+SUMIFS($AJ$2:AJ104,$AK$2:AK104,"&lt;&gt;Open"))</f>
        <v/>
      </c>
      <c r="AM104" s="18">
        <f>IF(OR(C104="",AK104=""),"",IF(AK104="Open","No","Yes"))</f>
        <v/>
      </c>
    </row>
    <row r="105" ht="18" customHeight="1">
      <c r="A105" s="18">
        <f>IF(C105="","",COUNTA($C$2:C105))</f>
        <v/>
      </c>
      <c r="B105" s="18">
        <f>IF(C105="","",TEXT(C105,"dddd"))</f>
        <v/>
      </c>
      <c r="C105" s="19" t="n"/>
      <c r="D105" s="20" t="n"/>
      <c r="E105" s="21" t="n"/>
      <c r="F105" s="21" t="n"/>
      <c r="G105" s="21" t="n"/>
      <c r="H105" s="22" t="n"/>
      <c r="I105" s="23" t="n"/>
      <c r="J105" s="22" t="n"/>
      <c r="K105" s="24" t="n"/>
      <c r="L105" s="24" t="n"/>
      <c r="M105" s="24" t="n"/>
      <c r="N105" s="21" t="n"/>
      <c r="O105" s="24" t="n"/>
      <c r="P105" s="19" t="n"/>
      <c r="Q105" s="20" t="n"/>
      <c r="R105" s="23" t="n"/>
      <c r="S105" s="23" t="n"/>
      <c r="T105" s="21" t="n"/>
      <c r="U105" s="21" t="n"/>
      <c r="V105" s="21" t="n"/>
      <c r="W105" s="21" t="n"/>
      <c r="X105" s="21" t="n"/>
      <c r="Y105" s="25">
        <f>IF($C105="","",IF(E105="XAUUSD",0.1,IF(ISNUMBER(SEARCH("JPY",E105)),0.01,0.0001)))</f>
        <v/>
      </c>
      <c r="Z105" s="18">
        <f>IF($C105="","",IF(F105="Sell",-1,1))</f>
        <v/>
      </c>
      <c r="AA105" s="18">
        <f>IF($C105="","",IF(E105="XAUUSD",100,100000))</f>
        <v/>
      </c>
      <c r="AB105" s="26">
        <f>IF(OR(K105="",L105=""),"",ABS(K105-L105)/Y105)</f>
        <v/>
      </c>
      <c r="AC105" s="26">
        <f>IF(OR(K105="",M105=""),"",ABS(M105-K105)/Y105)</f>
        <v/>
      </c>
      <c r="AD105" s="26">
        <f>IF(OR(K105="",O105=""),"",(O105-K105)*Z105/Y105)</f>
        <v/>
      </c>
      <c r="AE105" s="27">
        <f>IF(OR(AB105="",AB105=0,AC105=""),"",AC105/AB105)</f>
        <v/>
      </c>
      <c r="AF105" s="27">
        <f>IF(OR(AB105="",AB105=0,AD105=""),"",AD105/AB105)</f>
        <v/>
      </c>
      <c r="AG105" s="27">
        <f>IF(OR(C105="",P105=""),"",((P105+IF(Q105="",0,Q105))-(C105+IF(D105="",0,D105)))*24)</f>
        <v/>
      </c>
      <c r="AH105" s="18">
        <f>IF(AG105="","",INT(AG105/24)&amp;"d "&amp;INT(MOD(AG105,24))&amp;"h "&amp;INT(MOD(AG105*60,60))&amp;"m")</f>
        <v/>
      </c>
      <c r="AI105" s="28">
        <f>IF(OR(O105="",K105="",H105=""),"",IF(OR(E105="XAUUSD",RIGHT(E105,3)="USD"),(O105-K105)*Z105*AA105*H105,IF(LEFT(E105,3)="USD",IF(O105=0,"",(O105-K105)*Z105*AA105*H105/O105),AD105*10*H105)))</f>
        <v/>
      </c>
      <c r="AJ105" s="28">
        <f>IF(O105="","",IF(S105="",IF(AI105="",0,AI105),S105)-IF(R105="",0,R105))</f>
        <v/>
      </c>
      <c r="AK105" s="18">
        <f>IF(C105="","",IF(OR(O105="",P105=""),"Open",IF(ABS(AJ105)&lt;=BEThreshold,"BE",IF(AJ105&gt;0,"Win","Loss"))))</f>
        <v/>
      </c>
      <c r="AL105" s="28">
        <f>IF(OR(C105="",AK105="Open"),"",InitialCapital+SUMIFS($AJ$2:AJ105,$AK$2:AK105,"&lt;&gt;Open"))</f>
        <v/>
      </c>
      <c r="AM105" s="18">
        <f>IF(OR(C105="",AK105=""),"",IF(AK105="Open","No","Yes"))</f>
        <v/>
      </c>
    </row>
    <row r="106" ht="18" customHeight="1">
      <c r="A106" s="18">
        <f>IF(C106="","",COUNTA($C$2:C106))</f>
        <v/>
      </c>
      <c r="B106" s="18">
        <f>IF(C106="","",TEXT(C106,"dddd"))</f>
        <v/>
      </c>
      <c r="C106" s="19" t="n"/>
      <c r="D106" s="20" t="n"/>
      <c r="E106" s="21" t="n"/>
      <c r="F106" s="21" t="n"/>
      <c r="G106" s="21" t="n"/>
      <c r="H106" s="22" t="n"/>
      <c r="I106" s="23" t="n"/>
      <c r="J106" s="22" t="n"/>
      <c r="K106" s="24" t="n"/>
      <c r="L106" s="24" t="n"/>
      <c r="M106" s="24" t="n"/>
      <c r="N106" s="21" t="n"/>
      <c r="O106" s="24" t="n"/>
      <c r="P106" s="19" t="n"/>
      <c r="Q106" s="20" t="n"/>
      <c r="R106" s="23" t="n"/>
      <c r="S106" s="23" t="n"/>
      <c r="T106" s="21" t="n"/>
      <c r="U106" s="21" t="n"/>
      <c r="V106" s="21" t="n"/>
      <c r="W106" s="21" t="n"/>
      <c r="X106" s="21" t="n"/>
      <c r="Y106" s="25">
        <f>IF($C106="","",IF(E106="XAUUSD",0.1,IF(ISNUMBER(SEARCH("JPY",E106)),0.01,0.0001)))</f>
        <v/>
      </c>
      <c r="Z106" s="18">
        <f>IF($C106="","",IF(F106="Sell",-1,1))</f>
        <v/>
      </c>
      <c r="AA106" s="18">
        <f>IF($C106="","",IF(E106="XAUUSD",100,100000))</f>
        <v/>
      </c>
      <c r="AB106" s="26">
        <f>IF(OR(K106="",L106=""),"",ABS(K106-L106)/Y106)</f>
        <v/>
      </c>
      <c r="AC106" s="26">
        <f>IF(OR(K106="",M106=""),"",ABS(M106-K106)/Y106)</f>
        <v/>
      </c>
      <c r="AD106" s="26">
        <f>IF(OR(K106="",O106=""),"",(O106-K106)*Z106/Y106)</f>
        <v/>
      </c>
      <c r="AE106" s="27">
        <f>IF(OR(AB106="",AB106=0,AC106=""),"",AC106/AB106)</f>
        <v/>
      </c>
      <c r="AF106" s="27">
        <f>IF(OR(AB106="",AB106=0,AD106=""),"",AD106/AB106)</f>
        <v/>
      </c>
      <c r="AG106" s="27">
        <f>IF(OR(C106="",P106=""),"",((P106+IF(Q106="",0,Q106))-(C106+IF(D106="",0,D106)))*24)</f>
        <v/>
      </c>
      <c r="AH106" s="18">
        <f>IF(AG106="","",INT(AG106/24)&amp;"d "&amp;INT(MOD(AG106,24))&amp;"h "&amp;INT(MOD(AG106*60,60))&amp;"m")</f>
        <v/>
      </c>
      <c r="AI106" s="28">
        <f>IF(OR(O106="",K106="",H106=""),"",IF(OR(E106="XAUUSD",RIGHT(E106,3)="USD"),(O106-K106)*Z106*AA106*H106,IF(LEFT(E106,3)="USD",IF(O106=0,"",(O106-K106)*Z106*AA106*H106/O106),AD106*10*H106)))</f>
        <v/>
      </c>
      <c r="AJ106" s="28">
        <f>IF(O106="","",IF(S106="",IF(AI106="",0,AI106),S106)-IF(R106="",0,R106))</f>
        <v/>
      </c>
      <c r="AK106" s="18">
        <f>IF(C106="","",IF(OR(O106="",P106=""),"Open",IF(ABS(AJ106)&lt;=BEThreshold,"BE",IF(AJ106&gt;0,"Win","Loss"))))</f>
        <v/>
      </c>
      <c r="AL106" s="28">
        <f>IF(OR(C106="",AK106="Open"),"",InitialCapital+SUMIFS($AJ$2:AJ106,$AK$2:AK106,"&lt;&gt;Open"))</f>
        <v/>
      </c>
      <c r="AM106" s="18">
        <f>IF(OR(C106="",AK106=""),"",IF(AK106="Open","No","Yes"))</f>
        <v/>
      </c>
    </row>
    <row r="107" ht="18" customHeight="1">
      <c r="A107" s="18">
        <f>IF(C107="","",COUNTA($C$2:C107))</f>
        <v/>
      </c>
      <c r="B107" s="18">
        <f>IF(C107="","",TEXT(C107,"dddd"))</f>
        <v/>
      </c>
      <c r="C107" s="19" t="n"/>
      <c r="D107" s="20" t="n"/>
      <c r="E107" s="21" t="n"/>
      <c r="F107" s="21" t="n"/>
      <c r="G107" s="21" t="n"/>
      <c r="H107" s="22" t="n"/>
      <c r="I107" s="23" t="n"/>
      <c r="J107" s="22" t="n"/>
      <c r="K107" s="24" t="n"/>
      <c r="L107" s="24" t="n"/>
      <c r="M107" s="24" t="n"/>
      <c r="N107" s="21" t="n"/>
      <c r="O107" s="24" t="n"/>
      <c r="P107" s="19" t="n"/>
      <c r="Q107" s="20" t="n"/>
      <c r="R107" s="23" t="n"/>
      <c r="S107" s="23" t="n"/>
      <c r="T107" s="21" t="n"/>
      <c r="U107" s="21" t="n"/>
      <c r="V107" s="21" t="n"/>
      <c r="W107" s="21" t="n"/>
      <c r="X107" s="21" t="n"/>
      <c r="Y107" s="25">
        <f>IF($C107="","",IF(E107="XAUUSD",0.1,IF(ISNUMBER(SEARCH("JPY",E107)),0.01,0.0001)))</f>
        <v/>
      </c>
      <c r="Z107" s="18">
        <f>IF($C107="","",IF(F107="Sell",-1,1))</f>
        <v/>
      </c>
      <c r="AA107" s="18">
        <f>IF($C107="","",IF(E107="XAUUSD",100,100000))</f>
        <v/>
      </c>
      <c r="AB107" s="26">
        <f>IF(OR(K107="",L107=""),"",ABS(K107-L107)/Y107)</f>
        <v/>
      </c>
      <c r="AC107" s="26">
        <f>IF(OR(K107="",M107=""),"",ABS(M107-K107)/Y107)</f>
        <v/>
      </c>
      <c r="AD107" s="26">
        <f>IF(OR(K107="",O107=""),"",(O107-K107)*Z107/Y107)</f>
        <v/>
      </c>
      <c r="AE107" s="27">
        <f>IF(OR(AB107="",AB107=0,AC107=""),"",AC107/AB107)</f>
        <v/>
      </c>
      <c r="AF107" s="27">
        <f>IF(OR(AB107="",AB107=0,AD107=""),"",AD107/AB107)</f>
        <v/>
      </c>
      <c r="AG107" s="27">
        <f>IF(OR(C107="",P107=""),"",((P107+IF(Q107="",0,Q107))-(C107+IF(D107="",0,D107)))*24)</f>
        <v/>
      </c>
      <c r="AH107" s="18">
        <f>IF(AG107="","",INT(AG107/24)&amp;"d "&amp;INT(MOD(AG107,24))&amp;"h "&amp;INT(MOD(AG107*60,60))&amp;"m")</f>
        <v/>
      </c>
      <c r="AI107" s="28">
        <f>IF(OR(O107="",K107="",H107=""),"",IF(OR(E107="XAUUSD",RIGHT(E107,3)="USD"),(O107-K107)*Z107*AA107*H107,IF(LEFT(E107,3)="USD",IF(O107=0,"",(O107-K107)*Z107*AA107*H107/O107),AD107*10*H107)))</f>
        <v/>
      </c>
      <c r="AJ107" s="28">
        <f>IF(O107="","",IF(S107="",IF(AI107="",0,AI107),S107)-IF(R107="",0,R107))</f>
        <v/>
      </c>
      <c r="AK107" s="18">
        <f>IF(C107="","",IF(OR(O107="",P107=""),"Open",IF(ABS(AJ107)&lt;=BEThreshold,"BE",IF(AJ107&gt;0,"Win","Loss"))))</f>
        <v/>
      </c>
      <c r="AL107" s="28">
        <f>IF(OR(C107="",AK107="Open"),"",InitialCapital+SUMIFS($AJ$2:AJ107,$AK$2:AK107,"&lt;&gt;Open"))</f>
        <v/>
      </c>
      <c r="AM107" s="18">
        <f>IF(OR(C107="",AK107=""),"",IF(AK107="Open","No","Yes"))</f>
        <v/>
      </c>
    </row>
    <row r="108" ht="18" customHeight="1">
      <c r="A108" s="18">
        <f>IF(C108="","",COUNTA($C$2:C108))</f>
        <v/>
      </c>
      <c r="B108" s="18">
        <f>IF(C108="","",TEXT(C108,"dddd"))</f>
        <v/>
      </c>
      <c r="C108" s="19" t="n"/>
      <c r="D108" s="20" t="n"/>
      <c r="E108" s="21" t="n"/>
      <c r="F108" s="21" t="n"/>
      <c r="G108" s="21" t="n"/>
      <c r="H108" s="22" t="n"/>
      <c r="I108" s="23" t="n"/>
      <c r="J108" s="22" t="n"/>
      <c r="K108" s="24" t="n"/>
      <c r="L108" s="24" t="n"/>
      <c r="M108" s="24" t="n"/>
      <c r="N108" s="21" t="n"/>
      <c r="O108" s="24" t="n"/>
      <c r="P108" s="19" t="n"/>
      <c r="Q108" s="20" t="n"/>
      <c r="R108" s="23" t="n"/>
      <c r="S108" s="23" t="n"/>
      <c r="T108" s="21" t="n"/>
      <c r="U108" s="21" t="n"/>
      <c r="V108" s="21" t="n"/>
      <c r="W108" s="21" t="n"/>
      <c r="X108" s="21" t="n"/>
      <c r="Y108" s="25">
        <f>IF($C108="","",IF(E108="XAUUSD",0.1,IF(ISNUMBER(SEARCH("JPY",E108)),0.01,0.0001)))</f>
        <v/>
      </c>
      <c r="Z108" s="18">
        <f>IF($C108="","",IF(F108="Sell",-1,1))</f>
        <v/>
      </c>
      <c r="AA108" s="18">
        <f>IF($C108="","",IF(E108="XAUUSD",100,100000))</f>
        <v/>
      </c>
      <c r="AB108" s="26">
        <f>IF(OR(K108="",L108=""),"",ABS(K108-L108)/Y108)</f>
        <v/>
      </c>
      <c r="AC108" s="26">
        <f>IF(OR(K108="",M108=""),"",ABS(M108-K108)/Y108)</f>
        <v/>
      </c>
      <c r="AD108" s="26">
        <f>IF(OR(K108="",O108=""),"",(O108-K108)*Z108/Y108)</f>
        <v/>
      </c>
      <c r="AE108" s="27">
        <f>IF(OR(AB108="",AB108=0,AC108=""),"",AC108/AB108)</f>
        <v/>
      </c>
      <c r="AF108" s="27">
        <f>IF(OR(AB108="",AB108=0,AD108=""),"",AD108/AB108)</f>
        <v/>
      </c>
      <c r="AG108" s="27">
        <f>IF(OR(C108="",P108=""),"",((P108+IF(Q108="",0,Q108))-(C108+IF(D108="",0,D108)))*24)</f>
        <v/>
      </c>
      <c r="AH108" s="18">
        <f>IF(AG108="","",INT(AG108/24)&amp;"d "&amp;INT(MOD(AG108,24))&amp;"h "&amp;INT(MOD(AG108*60,60))&amp;"m")</f>
        <v/>
      </c>
      <c r="AI108" s="28">
        <f>IF(OR(O108="",K108="",H108=""),"",IF(OR(E108="XAUUSD",RIGHT(E108,3)="USD"),(O108-K108)*Z108*AA108*H108,IF(LEFT(E108,3)="USD",IF(O108=0,"",(O108-K108)*Z108*AA108*H108/O108),AD108*10*H108)))</f>
        <v/>
      </c>
      <c r="AJ108" s="28">
        <f>IF(O108="","",IF(S108="",IF(AI108="",0,AI108),S108)-IF(R108="",0,R108))</f>
        <v/>
      </c>
      <c r="AK108" s="18">
        <f>IF(C108="","",IF(OR(O108="",P108=""),"Open",IF(ABS(AJ108)&lt;=BEThreshold,"BE",IF(AJ108&gt;0,"Win","Loss"))))</f>
        <v/>
      </c>
      <c r="AL108" s="28">
        <f>IF(OR(C108="",AK108="Open"),"",InitialCapital+SUMIFS($AJ$2:AJ108,$AK$2:AK108,"&lt;&gt;Open"))</f>
        <v/>
      </c>
      <c r="AM108" s="18">
        <f>IF(OR(C108="",AK108=""),"",IF(AK108="Open","No","Yes"))</f>
        <v/>
      </c>
    </row>
    <row r="109" ht="18" customHeight="1">
      <c r="A109" s="18">
        <f>IF(C109="","",COUNTA($C$2:C109))</f>
        <v/>
      </c>
      <c r="B109" s="18">
        <f>IF(C109="","",TEXT(C109,"dddd"))</f>
        <v/>
      </c>
      <c r="C109" s="19" t="n"/>
      <c r="D109" s="20" t="n"/>
      <c r="E109" s="21" t="n"/>
      <c r="F109" s="21" t="n"/>
      <c r="G109" s="21" t="n"/>
      <c r="H109" s="22" t="n"/>
      <c r="I109" s="23" t="n"/>
      <c r="J109" s="22" t="n"/>
      <c r="K109" s="24" t="n"/>
      <c r="L109" s="24" t="n"/>
      <c r="M109" s="24" t="n"/>
      <c r="N109" s="21" t="n"/>
      <c r="O109" s="24" t="n"/>
      <c r="P109" s="19" t="n"/>
      <c r="Q109" s="20" t="n"/>
      <c r="R109" s="23" t="n"/>
      <c r="S109" s="23" t="n"/>
      <c r="T109" s="21" t="n"/>
      <c r="U109" s="21" t="n"/>
      <c r="V109" s="21" t="n"/>
      <c r="W109" s="21" t="n"/>
      <c r="X109" s="21" t="n"/>
      <c r="Y109" s="25">
        <f>IF($C109="","",IF(E109="XAUUSD",0.1,IF(ISNUMBER(SEARCH("JPY",E109)),0.01,0.0001)))</f>
        <v/>
      </c>
      <c r="Z109" s="18">
        <f>IF($C109="","",IF(F109="Sell",-1,1))</f>
        <v/>
      </c>
      <c r="AA109" s="18">
        <f>IF($C109="","",IF(E109="XAUUSD",100,100000))</f>
        <v/>
      </c>
      <c r="AB109" s="26">
        <f>IF(OR(K109="",L109=""),"",ABS(K109-L109)/Y109)</f>
        <v/>
      </c>
      <c r="AC109" s="26">
        <f>IF(OR(K109="",M109=""),"",ABS(M109-K109)/Y109)</f>
        <v/>
      </c>
      <c r="AD109" s="26">
        <f>IF(OR(K109="",O109=""),"",(O109-K109)*Z109/Y109)</f>
        <v/>
      </c>
      <c r="AE109" s="27">
        <f>IF(OR(AB109="",AB109=0,AC109=""),"",AC109/AB109)</f>
        <v/>
      </c>
      <c r="AF109" s="27">
        <f>IF(OR(AB109="",AB109=0,AD109=""),"",AD109/AB109)</f>
        <v/>
      </c>
      <c r="AG109" s="27">
        <f>IF(OR(C109="",P109=""),"",((P109+IF(Q109="",0,Q109))-(C109+IF(D109="",0,D109)))*24)</f>
        <v/>
      </c>
      <c r="AH109" s="18">
        <f>IF(AG109="","",INT(AG109/24)&amp;"d "&amp;INT(MOD(AG109,24))&amp;"h "&amp;INT(MOD(AG109*60,60))&amp;"m")</f>
        <v/>
      </c>
      <c r="AI109" s="28">
        <f>IF(OR(O109="",K109="",H109=""),"",IF(OR(E109="XAUUSD",RIGHT(E109,3)="USD"),(O109-K109)*Z109*AA109*H109,IF(LEFT(E109,3)="USD",IF(O109=0,"",(O109-K109)*Z109*AA109*H109/O109),AD109*10*H109)))</f>
        <v/>
      </c>
      <c r="AJ109" s="28">
        <f>IF(O109="","",IF(S109="",IF(AI109="",0,AI109),S109)-IF(R109="",0,R109))</f>
        <v/>
      </c>
      <c r="AK109" s="18">
        <f>IF(C109="","",IF(OR(O109="",P109=""),"Open",IF(ABS(AJ109)&lt;=BEThreshold,"BE",IF(AJ109&gt;0,"Win","Loss"))))</f>
        <v/>
      </c>
      <c r="AL109" s="28">
        <f>IF(OR(C109="",AK109="Open"),"",InitialCapital+SUMIFS($AJ$2:AJ109,$AK$2:AK109,"&lt;&gt;Open"))</f>
        <v/>
      </c>
      <c r="AM109" s="18">
        <f>IF(OR(C109="",AK109=""),"",IF(AK109="Open","No","Yes"))</f>
        <v/>
      </c>
    </row>
    <row r="110" ht="18" customHeight="1">
      <c r="A110" s="18">
        <f>IF(C110="","",COUNTA($C$2:C110))</f>
        <v/>
      </c>
      <c r="B110" s="18">
        <f>IF(C110="","",TEXT(C110,"dddd"))</f>
        <v/>
      </c>
      <c r="C110" s="19" t="n"/>
      <c r="D110" s="20" t="n"/>
      <c r="E110" s="21" t="n"/>
      <c r="F110" s="21" t="n"/>
      <c r="G110" s="21" t="n"/>
      <c r="H110" s="22" t="n"/>
      <c r="I110" s="23" t="n"/>
      <c r="J110" s="22" t="n"/>
      <c r="K110" s="24" t="n"/>
      <c r="L110" s="24" t="n"/>
      <c r="M110" s="24" t="n"/>
      <c r="N110" s="21" t="n"/>
      <c r="O110" s="24" t="n"/>
      <c r="P110" s="19" t="n"/>
      <c r="Q110" s="20" t="n"/>
      <c r="R110" s="23" t="n"/>
      <c r="S110" s="23" t="n"/>
      <c r="T110" s="21" t="n"/>
      <c r="U110" s="21" t="n"/>
      <c r="V110" s="21" t="n"/>
      <c r="W110" s="21" t="n"/>
      <c r="X110" s="21" t="n"/>
      <c r="Y110" s="25">
        <f>IF($C110="","",IF(E110="XAUUSD",0.1,IF(ISNUMBER(SEARCH("JPY",E110)),0.01,0.0001)))</f>
        <v/>
      </c>
      <c r="Z110" s="18">
        <f>IF($C110="","",IF(F110="Sell",-1,1))</f>
        <v/>
      </c>
      <c r="AA110" s="18">
        <f>IF($C110="","",IF(E110="XAUUSD",100,100000))</f>
        <v/>
      </c>
      <c r="AB110" s="26">
        <f>IF(OR(K110="",L110=""),"",ABS(K110-L110)/Y110)</f>
        <v/>
      </c>
      <c r="AC110" s="26">
        <f>IF(OR(K110="",M110=""),"",ABS(M110-K110)/Y110)</f>
        <v/>
      </c>
      <c r="AD110" s="26">
        <f>IF(OR(K110="",O110=""),"",(O110-K110)*Z110/Y110)</f>
        <v/>
      </c>
      <c r="AE110" s="27">
        <f>IF(OR(AB110="",AB110=0,AC110=""),"",AC110/AB110)</f>
        <v/>
      </c>
      <c r="AF110" s="27">
        <f>IF(OR(AB110="",AB110=0,AD110=""),"",AD110/AB110)</f>
        <v/>
      </c>
      <c r="AG110" s="27">
        <f>IF(OR(C110="",P110=""),"",((P110+IF(Q110="",0,Q110))-(C110+IF(D110="",0,D110)))*24)</f>
        <v/>
      </c>
      <c r="AH110" s="18">
        <f>IF(AG110="","",INT(AG110/24)&amp;"d "&amp;INT(MOD(AG110,24))&amp;"h "&amp;INT(MOD(AG110*60,60))&amp;"m")</f>
        <v/>
      </c>
      <c r="AI110" s="28">
        <f>IF(OR(O110="",K110="",H110=""),"",IF(OR(E110="XAUUSD",RIGHT(E110,3)="USD"),(O110-K110)*Z110*AA110*H110,IF(LEFT(E110,3)="USD",IF(O110=0,"",(O110-K110)*Z110*AA110*H110/O110),AD110*10*H110)))</f>
        <v/>
      </c>
      <c r="AJ110" s="28">
        <f>IF(O110="","",IF(S110="",IF(AI110="",0,AI110),S110)-IF(R110="",0,R110))</f>
        <v/>
      </c>
      <c r="AK110" s="18">
        <f>IF(C110="","",IF(OR(O110="",P110=""),"Open",IF(ABS(AJ110)&lt;=BEThreshold,"BE",IF(AJ110&gt;0,"Win","Loss"))))</f>
        <v/>
      </c>
      <c r="AL110" s="28">
        <f>IF(OR(C110="",AK110="Open"),"",InitialCapital+SUMIFS($AJ$2:AJ110,$AK$2:AK110,"&lt;&gt;Open"))</f>
        <v/>
      </c>
      <c r="AM110" s="18">
        <f>IF(OR(C110="",AK110=""),"",IF(AK110="Open","No","Yes"))</f>
        <v/>
      </c>
    </row>
    <row r="111" ht="18" customHeight="1">
      <c r="A111" s="18">
        <f>IF(C111="","",COUNTA($C$2:C111))</f>
        <v/>
      </c>
      <c r="B111" s="18">
        <f>IF(C111="","",TEXT(C111,"dddd"))</f>
        <v/>
      </c>
      <c r="C111" s="19" t="n"/>
      <c r="D111" s="20" t="n"/>
      <c r="E111" s="21" t="n"/>
      <c r="F111" s="21" t="n"/>
      <c r="G111" s="21" t="n"/>
      <c r="H111" s="22" t="n"/>
      <c r="I111" s="23" t="n"/>
      <c r="J111" s="22" t="n"/>
      <c r="K111" s="24" t="n"/>
      <c r="L111" s="24" t="n"/>
      <c r="M111" s="24" t="n"/>
      <c r="N111" s="21" t="n"/>
      <c r="O111" s="24" t="n"/>
      <c r="P111" s="19" t="n"/>
      <c r="Q111" s="20" t="n"/>
      <c r="R111" s="23" t="n"/>
      <c r="S111" s="23" t="n"/>
      <c r="T111" s="21" t="n"/>
      <c r="U111" s="21" t="n"/>
      <c r="V111" s="21" t="n"/>
      <c r="W111" s="21" t="n"/>
      <c r="X111" s="21" t="n"/>
      <c r="Y111" s="25">
        <f>IF($C111="","",IF(E111="XAUUSD",0.1,IF(ISNUMBER(SEARCH("JPY",E111)),0.01,0.0001)))</f>
        <v/>
      </c>
      <c r="Z111" s="18">
        <f>IF($C111="","",IF(F111="Sell",-1,1))</f>
        <v/>
      </c>
      <c r="AA111" s="18">
        <f>IF($C111="","",IF(E111="XAUUSD",100,100000))</f>
        <v/>
      </c>
      <c r="AB111" s="26">
        <f>IF(OR(K111="",L111=""),"",ABS(K111-L111)/Y111)</f>
        <v/>
      </c>
      <c r="AC111" s="26">
        <f>IF(OR(K111="",M111=""),"",ABS(M111-K111)/Y111)</f>
        <v/>
      </c>
      <c r="AD111" s="26">
        <f>IF(OR(K111="",O111=""),"",(O111-K111)*Z111/Y111)</f>
        <v/>
      </c>
      <c r="AE111" s="27">
        <f>IF(OR(AB111="",AB111=0,AC111=""),"",AC111/AB111)</f>
        <v/>
      </c>
      <c r="AF111" s="27">
        <f>IF(OR(AB111="",AB111=0,AD111=""),"",AD111/AB111)</f>
        <v/>
      </c>
      <c r="AG111" s="27">
        <f>IF(OR(C111="",P111=""),"",((P111+IF(Q111="",0,Q111))-(C111+IF(D111="",0,D111)))*24)</f>
        <v/>
      </c>
      <c r="AH111" s="18">
        <f>IF(AG111="","",INT(AG111/24)&amp;"d "&amp;INT(MOD(AG111,24))&amp;"h "&amp;INT(MOD(AG111*60,60))&amp;"m")</f>
        <v/>
      </c>
      <c r="AI111" s="28">
        <f>IF(OR(O111="",K111="",H111=""),"",IF(OR(E111="XAUUSD",RIGHT(E111,3)="USD"),(O111-K111)*Z111*AA111*H111,IF(LEFT(E111,3)="USD",IF(O111=0,"",(O111-K111)*Z111*AA111*H111/O111),AD111*10*H111)))</f>
        <v/>
      </c>
      <c r="AJ111" s="28">
        <f>IF(O111="","",IF(S111="",IF(AI111="",0,AI111),S111)-IF(R111="",0,R111))</f>
        <v/>
      </c>
      <c r="AK111" s="18">
        <f>IF(C111="","",IF(OR(O111="",P111=""),"Open",IF(ABS(AJ111)&lt;=BEThreshold,"BE",IF(AJ111&gt;0,"Win","Loss"))))</f>
        <v/>
      </c>
      <c r="AL111" s="28">
        <f>IF(OR(C111="",AK111="Open"),"",InitialCapital+SUMIFS($AJ$2:AJ111,$AK$2:AK111,"&lt;&gt;Open"))</f>
        <v/>
      </c>
      <c r="AM111" s="18">
        <f>IF(OR(C111="",AK111=""),"",IF(AK111="Open","No","Yes"))</f>
        <v/>
      </c>
    </row>
    <row r="112" ht="18" customHeight="1">
      <c r="A112" s="18">
        <f>IF(C112="","",COUNTA($C$2:C112))</f>
        <v/>
      </c>
      <c r="B112" s="18">
        <f>IF(C112="","",TEXT(C112,"dddd"))</f>
        <v/>
      </c>
      <c r="C112" s="19" t="n"/>
      <c r="D112" s="20" t="n"/>
      <c r="E112" s="21" t="n"/>
      <c r="F112" s="21" t="n"/>
      <c r="G112" s="21" t="n"/>
      <c r="H112" s="22" t="n"/>
      <c r="I112" s="23" t="n"/>
      <c r="J112" s="22" t="n"/>
      <c r="K112" s="24" t="n"/>
      <c r="L112" s="24" t="n"/>
      <c r="M112" s="24" t="n"/>
      <c r="N112" s="21" t="n"/>
      <c r="O112" s="24" t="n"/>
      <c r="P112" s="19" t="n"/>
      <c r="Q112" s="20" t="n"/>
      <c r="R112" s="23" t="n"/>
      <c r="S112" s="23" t="n"/>
      <c r="T112" s="21" t="n"/>
      <c r="U112" s="21" t="n"/>
      <c r="V112" s="21" t="n"/>
      <c r="W112" s="21" t="n"/>
      <c r="X112" s="21" t="n"/>
      <c r="Y112" s="25">
        <f>IF($C112="","",IF(E112="XAUUSD",0.1,IF(ISNUMBER(SEARCH("JPY",E112)),0.01,0.0001)))</f>
        <v/>
      </c>
      <c r="Z112" s="18">
        <f>IF($C112="","",IF(F112="Sell",-1,1))</f>
        <v/>
      </c>
      <c r="AA112" s="18">
        <f>IF($C112="","",IF(E112="XAUUSD",100,100000))</f>
        <v/>
      </c>
      <c r="AB112" s="26">
        <f>IF(OR(K112="",L112=""),"",ABS(K112-L112)/Y112)</f>
        <v/>
      </c>
      <c r="AC112" s="26">
        <f>IF(OR(K112="",M112=""),"",ABS(M112-K112)/Y112)</f>
        <v/>
      </c>
      <c r="AD112" s="26">
        <f>IF(OR(K112="",O112=""),"",(O112-K112)*Z112/Y112)</f>
        <v/>
      </c>
      <c r="AE112" s="27">
        <f>IF(OR(AB112="",AB112=0,AC112=""),"",AC112/AB112)</f>
        <v/>
      </c>
      <c r="AF112" s="27">
        <f>IF(OR(AB112="",AB112=0,AD112=""),"",AD112/AB112)</f>
        <v/>
      </c>
      <c r="AG112" s="27">
        <f>IF(OR(C112="",P112=""),"",((P112+IF(Q112="",0,Q112))-(C112+IF(D112="",0,D112)))*24)</f>
        <v/>
      </c>
      <c r="AH112" s="18">
        <f>IF(AG112="","",INT(AG112/24)&amp;"d "&amp;INT(MOD(AG112,24))&amp;"h "&amp;INT(MOD(AG112*60,60))&amp;"m")</f>
        <v/>
      </c>
      <c r="AI112" s="28">
        <f>IF(OR(O112="",K112="",H112=""),"",IF(OR(E112="XAUUSD",RIGHT(E112,3)="USD"),(O112-K112)*Z112*AA112*H112,IF(LEFT(E112,3)="USD",IF(O112=0,"",(O112-K112)*Z112*AA112*H112/O112),AD112*10*H112)))</f>
        <v/>
      </c>
      <c r="AJ112" s="28">
        <f>IF(O112="","",IF(S112="",IF(AI112="",0,AI112),S112)-IF(R112="",0,R112))</f>
        <v/>
      </c>
      <c r="AK112" s="18">
        <f>IF(C112="","",IF(OR(O112="",P112=""),"Open",IF(ABS(AJ112)&lt;=BEThreshold,"BE",IF(AJ112&gt;0,"Win","Loss"))))</f>
        <v/>
      </c>
      <c r="AL112" s="28">
        <f>IF(OR(C112="",AK112="Open"),"",InitialCapital+SUMIFS($AJ$2:AJ112,$AK$2:AK112,"&lt;&gt;Open"))</f>
        <v/>
      </c>
      <c r="AM112" s="18">
        <f>IF(OR(C112="",AK112=""),"",IF(AK112="Open","No","Yes"))</f>
        <v/>
      </c>
    </row>
    <row r="113" ht="18" customHeight="1">
      <c r="A113" s="18">
        <f>IF(C113="","",COUNTA($C$2:C113))</f>
        <v/>
      </c>
      <c r="B113" s="18">
        <f>IF(C113="","",TEXT(C113,"dddd"))</f>
        <v/>
      </c>
      <c r="C113" s="19" t="n"/>
      <c r="D113" s="20" t="n"/>
      <c r="E113" s="21" t="n"/>
      <c r="F113" s="21" t="n"/>
      <c r="G113" s="21" t="n"/>
      <c r="H113" s="22" t="n"/>
      <c r="I113" s="23" t="n"/>
      <c r="J113" s="22" t="n"/>
      <c r="K113" s="24" t="n"/>
      <c r="L113" s="24" t="n"/>
      <c r="M113" s="24" t="n"/>
      <c r="N113" s="21" t="n"/>
      <c r="O113" s="24" t="n"/>
      <c r="P113" s="19" t="n"/>
      <c r="Q113" s="20" t="n"/>
      <c r="R113" s="23" t="n"/>
      <c r="S113" s="23" t="n"/>
      <c r="T113" s="21" t="n"/>
      <c r="U113" s="21" t="n"/>
      <c r="V113" s="21" t="n"/>
      <c r="W113" s="21" t="n"/>
      <c r="X113" s="21" t="n"/>
      <c r="Y113" s="25">
        <f>IF($C113="","",IF(E113="XAUUSD",0.1,IF(ISNUMBER(SEARCH("JPY",E113)),0.01,0.0001)))</f>
        <v/>
      </c>
      <c r="Z113" s="18">
        <f>IF($C113="","",IF(F113="Sell",-1,1))</f>
        <v/>
      </c>
      <c r="AA113" s="18">
        <f>IF($C113="","",IF(E113="XAUUSD",100,100000))</f>
        <v/>
      </c>
      <c r="AB113" s="26">
        <f>IF(OR(K113="",L113=""),"",ABS(K113-L113)/Y113)</f>
        <v/>
      </c>
      <c r="AC113" s="26">
        <f>IF(OR(K113="",M113=""),"",ABS(M113-K113)/Y113)</f>
        <v/>
      </c>
      <c r="AD113" s="26">
        <f>IF(OR(K113="",O113=""),"",(O113-K113)*Z113/Y113)</f>
        <v/>
      </c>
      <c r="AE113" s="27">
        <f>IF(OR(AB113="",AB113=0,AC113=""),"",AC113/AB113)</f>
        <v/>
      </c>
      <c r="AF113" s="27">
        <f>IF(OR(AB113="",AB113=0,AD113=""),"",AD113/AB113)</f>
        <v/>
      </c>
      <c r="AG113" s="27">
        <f>IF(OR(C113="",P113=""),"",((P113+IF(Q113="",0,Q113))-(C113+IF(D113="",0,D113)))*24)</f>
        <v/>
      </c>
      <c r="AH113" s="18">
        <f>IF(AG113="","",INT(AG113/24)&amp;"d "&amp;INT(MOD(AG113,24))&amp;"h "&amp;INT(MOD(AG113*60,60))&amp;"m")</f>
        <v/>
      </c>
      <c r="AI113" s="28">
        <f>IF(OR(O113="",K113="",H113=""),"",IF(OR(E113="XAUUSD",RIGHT(E113,3)="USD"),(O113-K113)*Z113*AA113*H113,IF(LEFT(E113,3)="USD",IF(O113=0,"",(O113-K113)*Z113*AA113*H113/O113),AD113*10*H113)))</f>
        <v/>
      </c>
      <c r="AJ113" s="28">
        <f>IF(O113="","",IF(S113="",IF(AI113="",0,AI113),S113)-IF(R113="",0,R113))</f>
        <v/>
      </c>
      <c r="AK113" s="18">
        <f>IF(C113="","",IF(OR(O113="",P113=""),"Open",IF(ABS(AJ113)&lt;=BEThreshold,"BE",IF(AJ113&gt;0,"Win","Loss"))))</f>
        <v/>
      </c>
      <c r="AL113" s="28">
        <f>IF(OR(C113="",AK113="Open"),"",InitialCapital+SUMIFS($AJ$2:AJ113,$AK$2:AK113,"&lt;&gt;Open"))</f>
        <v/>
      </c>
      <c r="AM113" s="18">
        <f>IF(OR(C113="",AK113=""),"",IF(AK113="Open","No","Yes"))</f>
        <v/>
      </c>
    </row>
    <row r="114" ht="18" customHeight="1">
      <c r="A114" s="18">
        <f>IF(C114="","",COUNTA($C$2:C114))</f>
        <v/>
      </c>
      <c r="B114" s="18">
        <f>IF(C114="","",TEXT(C114,"dddd"))</f>
        <v/>
      </c>
      <c r="C114" s="19" t="n"/>
      <c r="D114" s="20" t="n"/>
      <c r="E114" s="21" t="n"/>
      <c r="F114" s="21" t="n"/>
      <c r="G114" s="21" t="n"/>
      <c r="H114" s="22" t="n"/>
      <c r="I114" s="23" t="n"/>
      <c r="J114" s="22" t="n"/>
      <c r="K114" s="24" t="n"/>
      <c r="L114" s="24" t="n"/>
      <c r="M114" s="24" t="n"/>
      <c r="N114" s="21" t="n"/>
      <c r="O114" s="24" t="n"/>
      <c r="P114" s="19" t="n"/>
      <c r="Q114" s="20" t="n"/>
      <c r="R114" s="23" t="n"/>
      <c r="S114" s="23" t="n"/>
      <c r="T114" s="21" t="n"/>
      <c r="U114" s="21" t="n"/>
      <c r="V114" s="21" t="n"/>
      <c r="W114" s="21" t="n"/>
      <c r="X114" s="21" t="n"/>
      <c r="Y114" s="25">
        <f>IF($C114="","",IF(E114="XAUUSD",0.1,IF(ISNUMBER(SEARCH("JPY",E114)),0.01,0.0001)))</f>
        <v/>
      </c>
      <c r="Z114" s="18">
        <f>IF($C114="","",IF(F114="Sell",-1,1))</f>
        <v/>
      </c>
      <c r="AA114" s="18">
        <f>IF($C114="","",IF(E114="XAUUSD",100,100000))</f>
        <v/>
      </c>
      <c r="AB114" s="26">
        <f>IF(OR(K114="",L114=""),"",ABS(K114-L114)/Y114)</f>
        <v/>
      </c>
      <c r="AC114" s="26">
        <f>IF(OR(K114="",M114=""),"",ABS(M114-K114)/Y114)</f>
        <v/>
      </c>
      <c r="AD114" s="26">
        <f>IF(OR(K114="",O114=""),"",(O114-K114)*Z114/Y114)</f>
        <v/>
      </c>
      <c r="AE114" s="27">
        <f>IF(OR(AB114="",AB114=0,AC114=""),"",AC114/AB114)</f>
        <v/>
      </c>
      <c r="AF114" s="27">
        <f>IF(OR(AB114="",AB114=0,AD114=""),"",AD114/AB114)</f>
        <v/>
      </c>
      <c r="AG114" s="27">
        <f>IF(OR(C114="",P114=""),"",((P114+IF(Q114="",0,Q114))-(C114+IF(D114="",0,D114)))*24)</f>
        <v/>
      </c>
      <c r="AH114" s="18">
        <f>IF(AG114="","",INT(AG114/24)&amp;"d "&amp;INT(MOD(AG114,24))&amp;"h "&amp;INT(MOD(AG114*60,60))&amp;"m")</f>
        <v/>
      </c>
      <c r="AI114" s="28">
        <f>IF(OR(O114="",K114="",H114=""),"",IF(OR(E114="XAUUSD",RIGHT(E114,3)="USD"),(O114-K114)*Z114*AA114*H114,IF(LEFT(E114,3)="USD",IF(O114=0,"",(O114-K114)*Z114*AA114*H114/O114),AD114*10*H114)))</f>
        <v/>
      </c>
      <c r="AJ114" s="28">
        <f>IF(O114="","",IF(S114="",IF(AI114="",0,AI114),S114)-IF(R114="",0,R114))</f>
        <v/>
      </c>
      <c r="AK114" s="18">
        <f>IF(C114="","",IF(OR(O114="",P114=""),"Open",IF(ABS(AJ114)&lt;=BEThreshold,"BE",IF(AJ114&gt;0,"Win","Loss"))))</f>
        <v/>
      </c>
      <c r="AL114" s="28">
        <f>IF(OR(C114="",AK114="Open"),"",InitialCapital+SUMIFS($AJ$2:AJ114,$AK$2:AK114,"&lt;&gt;Open"))</f>
        <v/>
      </c>
      <c r="AM114" s="18">
        <f>IF(OR(C114="",AK114=""),"",IF(AK114="Open","No","Yes"))</f>
        <v/>
      </c>
    </row>
    <row r="115" ht="18" customHeight="1">
      <c r="A115" s="18">
        <f>IF(C115="","",COUNTA($C$2:C115))</f>
        <v/>
      </c>
      <c r="B115" s="18">
        <f>IF(C115="","",TEXT(C115,"dddd"))</f>
        <v/>
      </c>
      <c r="C115" s="19" t="n"/>
      <c r="D115" s="20" t="n"/>
      <c r="E115" s="21" t="n"/>
      <c r="F115" s="21" t="n"/>
      <c r="G115" s="21" t="n"/>
      <c r="H115" s="22" t="n"/>
      <c r="I115" s="23" t="n"/>
      <c r="J115" s="22" t="n"/>
      <c r="K115" s="24" t="n"/>
      <c r="L115" s="24" t="n"/>
      <c r="M115" s="24" t="n"/>
      <c r="N115" s="21" t="n"/>
      <c r="O115" s="24" t="n"/>
      <c r="P115" s="19" t="n"/>
      <c r="Q115" s="20" t="n"/>
      <c r="R115" s="23" t="n"/>
      <c r="S115" s="23" t="n"/>
      <c r="T115" s="21" t="n"/>
      <c r="U115" s="21" t="n"/>
      <c r="V115" s="21" t="n"/>
      <c r="W115" s="21" t="n"/>
      <c r="X115" s="21" t="n"/>
      <c r="Y115" s="25">
        <f>IF($C115="","",IF(E115="XAUUSD",0.1,IF(ISNUMBER(SEARCH("JPY",E115)),0.01,0.0001)))</f>
        <v/>
      </c>
      <c r="Z115" s="18">
        <f>IF($C115="","",IF(F115="Sell",-1,1))</f>
        <v/>
      </c>
      <c r="AA115" s="18">
        <f>IF($C115="","",IF(E115="XAUUSD",100,100000))</f>
        <v/>
      </c>
      <c r="AB115" s="26">
        <f>IF(OR(K115="",L115=""),"",ABS(K115-L115)/Y115)</f>
        <v/>
      </c>
      <c r="AC115" s="26">
        <f>IF(OR(K115="",M115=""),"",ABS(M115-K115)/Y115)</f>
        <v/>
      </c>
      <c r="AD115" s="26">
        <f>IF(OR(K115="",O115=""),"",(O115-K115)*Z115/Y115)</f>
        <v/>
      </c>
      <c r="AE115" s="27">
        <f>IF(OR(AB115="",AB115=0,AC115=""),"",AC115/AB115)</f>
        <v/>
      </c>
      <c r="AF115" s="27">
        <f>IF(OR(AB115="",AB115=0,AD115=""),"",AD115/AB115)</f>
        <v/>
      </c>
      <c r="AG115" s="27">
        <f>IF(OR(C115="",P115=""),"",((P115+IF(Q115="",0,Q115))-(C115+IF(D115="",0,D115)))*24)</f>
        <v/>
      </c>
      <c r="AH115" s="18">
        <f>IF(AG115="","",INT(AG115/24)&amp;"d "&amp;INT(MOD(AG115,24))&amp;"h "&amp;INT(MOD(AG115*60,60))&amp;"m")</f>
        <v/>
      </c>
      <c r="AI115" s="28">
        <f>IF(OR(O115="",K115="",H115=""),"",IF(OR(E115="XAUUSD",RIGHT(E115,3)="USD"),(O115-K115)*Z115*AA115*H115,IF(LEFT(E115,3)="USD",IF(O115=0,"",(O115-K115)*Z115*AA115*H115/O115),AD115*10*H115)))</f>
        <v/>
      </c>
      <c r="AJ115" s="28">
        <f>IF(O115="","",IF(S115="",IF(AI115="",0,AI115),S115)-IF(R115="",0,R115))</f>
        <v/>
      </c>
      <c r="AK115" s="18">
        <f>IF(C115="","",IF(OR(O115="",P115=""),"Open",IF(ABS(AJ115)&lt;=BEThreshold,"BE",IF(AJ115&gt;0,"Win","Loss"))))</f>
        <v/>
      </c>
      <c r="AL115" s="28">
        <f>IF(OR(C115="",AK115="Open"),"",InitialCapital+SUMIFS($AJ$2:AJ115,$AK$2:AK115,"&lt;&gt;Open"))</f>
        <v/>
      </c>
      <c r="AM115" s="18">
        <f>IF(OR(C115="",AK115=""),"",IF(AK115="Open","No","Yes"))</f>
        <v/>
      </c>
    </row>
    <row r="116" ht="18" customHeight="1">
      <c r="A116" s="18">
        <f>IF(C116="","",COUNTA($C$2:C116))</f>
        <v/>
      </c>
      <c r="B116" s="18">
        <f>IF(C116="","",TEXT(C116,"dddd"))</f>
        <v/>
      </c>
      <c r="C116" s="19" t="n"/>
      <c r="D116" s="20" t="n"/>
      <c r="E116" s="21" t="n"/>
      <c r="F116" s="21" t="n"/>
      <c r="G116" s="21" t="n"/>
      <c r="H116" s="22" t="n"/>
      <c r="I116" s="23" t="n"/>
      <c r="J116" s="22" t="n"/>
      <c r="K116" s="24" t="n"/>
      <c r="L116" s="24" t="n"/>
      <c r="M116" s="24" t="n"/>
      <c r="N116" s="21" t="n"/>
      <c r="O116" s="24" t="n"/>
      <c r="P116" s="19" t="n"/>
      <c r="Q116" s="20" t="n"/>
      <c r="R116" s="23" t="n"/>
      <c r="S116" s="23" t="n"/>
      <c r="T116" s="21" t="n"/>
      <c r="U116" s="21" t="n"/>
      <c r="V116" s="21" t="n"/>
      <c r="W116" s="21" t="n"/>
      <c r="X116" s="21" t="n"/>
      <c r="Y116" s="25">
        <f>IF($C116="","",IF(E116="XAUUSD",0.1,IF(ISNUMBER(SEARCH("JPY",E116)),0.01,0.0001)))</f>
        <v/>
      </c>
      <c r="Z116" s="18">
        <f>IF($C116="","",IF(F116="Sell",-1,1))</f>
        <v/>
      </c>
      <c r="AA116" s="18">
        <f>IF($C116="","",IF(E116="XAUUSD",100,100000))</f>
        <v/>
      </c>
      <c r="AB116" s="26">
        <f>IF(OR(K116="",L116=""),"",ABS(K116-L116)/Y116)</f>
        <v/>
      </c>
      <c r="AC116" s="26">
        <f>IF(OR(K116="",M116=""),"",ABS(M116-K116)/Y116)</f>
        <v/>
      </c>
      <c r="AD116" s="26">
        <f>IF(OR(K116="",O116=""),"",(O116-K116)*Z116/Y116)</f>
        <v/>
      </c>
      <c r="AE116" s="27">
        <f>IF(OR(AB116="",AB116=0,AC116=""),"",AC116/AB116)</f>
        <v/>
      </c>
      <c r="AF116" s="27">
        <f>IF(OR(AB116="",AB116=0,AD116=""),"",AD116/AB116)</f>
        <v/>
      </c>
      <c r="AG116" s="27">
        <f>IF(OR(C116="",P116=""),"",((P116+IF(Q116="",0,Q116))-(C116+IF(D116="",0,D116)))*24)</f>
        <v/>
      </c>
      <c r="AH116" s="18">
        <f>IF(AG116="","",INT(AG116/24)&amp;"d "&amp;INT(MOD(AG116,24))&amp;"h "&amp;INT(MOD(AG116*60,60))&amp;"m")</f>
        <v/>
      </c>
      <c r="AI116" s="28">
        <f>IF(OR(O116="",K116="",H116=""),"",IF(OR(E116="XAUUSD",RIGHT(E116,3)="USD"),(O116-K116)*Z116*AA116*H116,IF(LEFT(E116,3)="USD",IF(O116=0,"",(O116-K116)*Z116*AA116*H116/O116),AD116*10*H116)))</f>
        <v/>
      </c>
      <c r="AJ116" s="28">
        <f>IF(O116="","",IF(S116="",IF(AI116="",0,AI116),S116)-IF(R116="",0,R116))</f>
        <v/>
      </c>
      <c r="AK116" s="18">
        <f>IF(C116="","",IF(OR(O116="",P116=""),"Open",IF(ABS(AJ116)&lt;=BEThreshold,"BE",IF(AJ116&gt;0,"Win","Loss"))))</f>
        <v/>
      </c>
      <c r="AL116" s="28">
        <f>IF(OR(C116="",AK116="Open"),"",InitialCapital+SUMIFS($AJ$2:AJ116,$AK$2:AK116,"&lt;&gt;Open"))</f>
        <v/>
      </c>
      <c r="AM116" s="18">
        <f>IF(OR(C116="",AK116=""),"",IF(AK116="Open","No","Yes"))</f>
        <v/>
      </c>
    </row>
    <row r="117" ht="18" customHeight="1">
      <c r="A117" s="18">
        <f>IF(C117="","",COUNTA($C$2:C117))</f>
        <v/>
      </c>
      <c r="B117" s="18">
        <f>IF(C117="","",TEXT(C117,"dddd"))</f>
        <v/>
      </c>
      <c r="C117" s="19" t="n"/>
      <c r="D117" s="20" t="n"/>
      <c r="E117" s="21" t="n"/>
      <c r="F117" s="21" t="n"/>
      <c r="G117" s="21" t="n"/>
      <c r="H117" s="22" t="n"/>
      <c r="I117" s="23" t="n"/>
      <c r="J117" s="22" t="n"/>
      <c r="K117" s="24" t="n"/>
      <c r="L117" s="24" t="n"/>
      <c r="M117" s="24" t="n"/>
      <c r="N117" s="21" t="n"/>
      <c r="O117" s="24" t="n"/>
      <c r="P117" s="19" t="n"/>
      <c r="Q117" s="20" t="n"/>
      <c r="R117" s="23" t="n"/>
      <c r="S117" s="23" t="n"/>
      <c r="T117" s="21" t="n"/>
      <c r="U117" s="21" t="n"/>
      <c r="V117" s="21" t="n"/>
      <c r="W117" s="21" t="n"/>
      <c r="X117" s="21" t="n"/>
      <c r="Y117" s="25">
        <f>IF($C117="","",IF(E117="XAUUSD",0.1,IF(ISNUMBER(SEARCH("JPY",E117)),0.01,0.0001)))</f>
        <v/>
      </c>
      <c r="Z117" s="18">
        <f>IF($C117="","",IF(F117="Sell",-1,1))</f>
        <v/>
      </c>
      <c r="AA117" s="18">
        <f>IF($C117="","",IF(E117="XAUUSD",100,100000))</f>
        <v/>
      </c>
      <c r="AB117" s="26">
        <f>IF(OR(K117="",L117=""),"",ABS(K117-L117)/Y117)</f>
        <v/>
      </c>
      <c r="AC117" s="26">
        <f>IF(OR(K117="",M117=""),"",ABS(M117-K117)/Y117)</f>
        <v/>
      </c>
      <c r="AD117" s="26">
        <f>IF(OR(K117="",O117=""),"",(O117-K117)*Z117/Y117)</f>
        <v/>
      </c>
      <c r="AE117" s="27">
        <f>IF(OR(AB117="",AB117=0,AC117=""),"",AC117/AB117)</f>
        <v/>
      </c>
      <c r="AF117" s="27">
        <f>IF(OR(AB117="",AB117=0,AD117=""),"",AD117/AB117)</f>
        <v/>
      </c>
      <c r="AG117" s="27">
        <f>IF(OR(C117="",P117=""),"",((P117+IF(Q117="",0,Q117))-(C117+IF(D117="",0,D117)))*24)</f>
        <v/>
      </c>
      <c r="AH117" s="18">
        <f>IF(AG117="","",INT(AG117/24)&amp;"d "&amp;INT(MOD(AG117,24))&amp;"h "&amp;INT(MOD(AG117*60,60))&amp;"m")</f>
        <v/>
      </c>
      <c r="AI117" s="28">
        <f>IF(OR(O117="",K117="",H117=""),"",IF(OR(E117="XAUUSD",RIGHT(E117,3)="USD"),(O117-K117)*Z117*AA117*H117,IF(LEFT(E117,3)="USD",IF(O117=0,"",(O117-K117)*Z117*AA117*H117/O117),AD117*10*H117)))</f>
        <v/>
      </c>
      <c r="AJ117" s="28">
        <f>IF(O117="","",IF(S117="",IF(AI117="",0,AI117),S117)-IF(R117="",0,R117))</f>
        <v/>
      </c>
      <c r="AK117" s="18">
        <f>IF(C117="","",IF(OR(O117="",P117=""),"Open",IF(ABS(AJ117)&lt;=BEThreshold,"BE",IF(AJ117&gt;0,"Win","Loss"))))</f>
        <v/>
      </c>
      <c r="AL117" s="28">
        <f>IF(OR(C117="",AK117="Open"),"",InitialCapital+SUMIFS($AJ$2:AJ117,$AK$2:AK117,"&lt;&gt;Open"))</f>
        <v/>
      </c>
      <c r="AM117" s="18">
        <f>IF(OR(C117="",AK117=""),"",IF(AK117="Open","No","Yes"))</f>
        <v/>
      </c>
    </row>
    <row r="118" ht="18" customHeight="1">
      <c r="A118" s="18">
        <f>IF(C118="","",COUNTA($C$2:C118))</f>
        <v/>
      </c>
      <c r="B118" s="18">
        <f>IF(C118="","",TEXT(C118,"dddd"))</f>
        <v/>
      </c>
      <c r="C118" s="19" t="n"/>
      <c r="D118" s="20" t="n"/>
      <c r="E118" s="21" t="n"/>
      <c r="F118" s="21" t="n"/>
      <c r="G118" s="21" t="n"/>
      <c r="H118" s="22" t="n"/>
      <c r="I118" s="23" t="n"/>
      <c r="J118" s="22" t="n"/>
      <c r="K118" s="24" t="n"/>
      <c r="L118" s="24" t="n"/>
      <c r="M118" s="24" t="n"/>
      <c r="N118" s="21" t="n"/>
      <c r="O118" s="24" t="n"/>
      <c r="P118" s="19" t="n"/>
      <c r="Q118" s="20" t="n"/>
      <c r="R118" s="23" t="n"/>
      <c r="S118" s="23" t="n"/>
      <c r="T118" s="21" t="n"/>
      <c r="U118" s="21" t="n"/>
      <c r="V118" s="21" t="n"/>
      <c r="W118" s="21" t="n"/>
      <c r="X118" s="21" t="n"/>
      <c r="Y118" s="25">
        <f>IF($C118="","",IF(E118="XAUUSD",0.1,IF(ISNUMBER(SEARCH("JPY",E118)),0.01,0.0001)))</f>
        <v/>
      </c>
      <c r="Z118" s="18">
        <f>IF($C118="","",IF(F118="Sell",-1,1))</f>
        <v/>
      </c>
      <c r="AA118" s="18">
        <f>IF($C118="","",IF(E118="XAUUSD",100,100000))</f>
        <v/>
      </c>
      <c r="AB118" s="26">
        <f>IF(OR(K118="",L118=""),"",ABS(K118-L118)/Y118)</f>
        <v/>
      </c>
      <c r="AC118" s="26">
        <f>IF(OR(K118="",M118=""),"",ABS(M118-K118)/Y118)</f>
        <v/>
      </c>
      <c r="AD118" s="26">
        <f>IF(OR(K118="",O118=""),"",(O118-K118)*Z118/Y118)</f>
        <v/>
      </c>
      <c r="AE118" s="27">
        <f>IF(OR(AB118="",AB118=0,AC118=""),"",AC118/AB118)</f>
        <v/>
      </c>
      <c r="AF118" s="27">
        <f>IF(OR(AB118="",AB118=0,AD118=""),"",AD118/AB118)</f>
        <v/>
      </c>
      <c r="AG118" s="27">
        <f>IF(OR(C118="",P118=""),"",((P118+IF(Q118="",0,Q118))-(C118+IF(D118="",0,D118)))*24)</f>
        <v/>
      </c>
      <c r="AH118" s="18">
        <f>IF(AG118="","",INT(AG118/24)&amp;"d "&amp;INT(MOD(AG118,24))&amp;"h "&amp;INT(MOD(AG118*60,60))&amp;"m")</f>
        <v/>
      </c>
      <c r="AI118" s="28">
        <f>IF(OR(O118="",K118="",H118=""),"",IF(OR(E118="XAUUSD",RIGHT(E118,3)="USD"),(O118-K118)*Z118*AA118*H118,IF(LEFT(E118,3)="USD",IF(O118=0,"",(O118-K118)*Z118*AA118*H118/O118),AD118*10*H118)))</f>
        <v/>
      </c>
      <c r="AJ118" s="28">
        <f>IF(O118="","",IF(S118="",IF(AI118="",0,AI118),S118)-IF(R118="",0,R118))</f>
        <v/>
      </c>
      <c r="AK118" s="18">
        <f>IF(C118="","",IF(OR(O118="",P118=""),"Open",IF(ABS(AJ118)&lt;=BEThreshold,"BE",IF(AJ118&gt;0,"Win","Loss"))))</f>
        <v/>
      </c>
      <c r="AL118" s="28">
        <f>IF(OR(C118="",AK118="Open"),"",InitialCapital+SUMIFS($AJ$2:AJ118,$AK$2:AK118,"&lt;&gt;Open"))</f>
        <v/>
      </c>
      <c r="AM118" s="18">
        <f>IF(OR(C118="",AK118=""),"",IF(AK118="Open","No","Yes"))</f>
        <v/>
      </c>
    </row>
    <row r="119" ht="18" customHeight="1">
      <c r="A119" s="18">
        <f>IF(C119="","",COUNTA($C$2:C119))</f>
        <v/>
      </c>
      <c r="B119" s="18">
        <f>IF(C119="","",TEXT(C119,"dddd"))</f>
        <v/>
      </c>
      <c r="C119" s="19" t="n"/>
      <c r="D119" s="20" t="n"/>
      <c r="E119" s="21" t="n"/>
      <c r="F119" s="21" t="n"/>
      <c r="G119" s="21" t="n"/>
      <c r="H119" s="22" t="n"/>
      <c r="I119" s="23" t="n"/>
      <c r="J119" s="22" t="n"/>
      <c r="K119" s="24" t="n"/>
      <c r="L119" s="24" t="n"/>
      <c r="M119" s="24" t="n"/>
      <c r="N119" s="21" t="n"/>
      <c r="O119" s="24" t="n"/>
      <c r="P119" s="19" t="n"/>
      <c r="Q119" s="20" t="n"/>
      <c r="R119" s="23" t="n"/>
      <c r="S119" s="23" t="n"/>
      <c r="T119" s="21" t="n"/>
      <c r="U119" s="21" t="n"/>
      <c r="V119" s="21" t="n"/>
      <c r="W119" s="21" t="n"/>
      <c r="X119" s="21" t="n"/>
      <c r="Y119" s="25">
        <f>IF($C119="","",IF(E119="XAUUSD",0.1,IF(ISNUMBER(SEARCH("JPY",E119)),0.01,0.0001)))</f>
        <v/>
      </c>
      <c r="Z119" s="18">
        <f>IF($C119="","",IF(F119="Sell",-1,1))</f>
        <v/>
      </c>
      <c r="AA119" s="18">
        <f>IF($C119="","",IF(E119="XAUUSD",100,100000))</f>
        <v/>
      </c>
      <c r="AB119" s="26">
        <f>IF(OR(K119="",L119=""),"",ABS(K119-L119)/Y119)</f>
        <v/>
      </c>
      <c r="AC119" s="26">
        <f>IF(OR(K119="",M119=""),"",ABS(M119-K119)/Y119)</f>
        <v/>
      </c>
      <c r="AD119" s="26">
        <f>IF(OR(K119="",O119=""),"",(O119-K119)*Z119/Y119)</f>
        <v/>
      </c>
      <c r="AE119" s="27">
        <f>IF(OR(AB119="",AB119=0,AC119=""),"",AC119/AB119)</f>
        <v/>
      </c>
      <c r="AF119" s="27">
        <f>IF(OR(AB119="",AB119=0,AD119=""),"",AD119/AB119)</f>
        <v/>
      </c>
      <c r="AG119" s="27">
        <f>IF(OR(C119="",P119=""),"",((P119+IF(Q119="",0,Q119))-(C119+IF(D119="",0,D119)))*24)</f>
        <v/>
      </c>
      <c r="AH119" s="18">
        <f>IF(AG119="","",INT(AG119/24)&amp;"d "&amp;INT(MOD(AG119,24))&amp;"h "&amp;INT(MOD(AG119*60,60))&amp;"m")</f>
        <v/>
      </c>
      <c r="AI119" s="28">
        <f>IF(OR(O119="",K119="",H119=""),"",IF(OR(E119="XAUUSD",RIGHT(E119,3)="USD"),(O119-K119)*Z119*AA119*H119,IF(LEFT(E119,3)="USD",IF(O119=0,"",(O119-K119)*Z119*AA119*H119/O119),AD119*10*H119)))</f>
        <v/>
      </c>
      <c r="AJ119" s="28">
        <f>IF(O119="","",IF(S119="",IF(AI119="",0,AI119),S119)-IF(R119="",0,R119))</f>
        <v/>
      </c>
      <c r="AK119" s="18">
        <f>IF(C119="","",IF(OR(O119="",P119=""),"Open",IF(ABS(AJ119)&lt;=BEThreshold,"BE",IF(AJ119&gt;0,"Win","Loss"))))</f>
        <v/>
      </c>
      <c r="AL119" s="28">
        <f>IF(OR(C119="",AK119="Open"),"",InitialCapital+SUMIFS($AJ$2:AJ119,$AK$2:AK119,"&lt;&gt;Open"))</f>
        <v/>
      </c>
      <c r="AM119" s="18">
        <f>IF(OR(C119="",AK119=""),"",IF(AK119="Open","No","Yes"))</f>
        <v/>
      </c>
    </row>
    <row r="120" ht="18" customHeight="1">
      <c r="A120" s="18">
        <f>IF(C120="","",COUNTA($C$2:C120))</f>
        <v/>
      </c>
      <c r="B120" s="18">
        <f>IF(C120="","",TEXT(C120,"dddd"))</f>
        <v/>
      </c>
      <c r="C120" s="19" t="n"/>
      <c r="D120" s="20" t="n"/>
      <c r="E120" s="21" t="n"/>
      <c r="F120" s="21" t="n"/>
      <c r="G120" s="21" t="n"/>
      <c r="H120" s="22" t="n"/>
      <c r="I120" s="23" t="n"/>
      <c r="J120" s="22" t="n"/>
      <c r="K120" s="24" t="n"/>
      <c r="L120" s="24" t="n"/>
      <c r="M120" s="24" t="n"/>
      <c r="N120" s="21" t="n"/>
      <c r="O120" s="24" t="n"/>
      <c r="P120" s="19" t="n"/>
      <c r="Q120" s="20" t="n"/>
      <c r="R120" s="23" t="n"/>
      <c r="S120" s="23" t="n"/>
      <c r="T120" s="21" t="n"/>
      <c r="U120" s="21" t="n"/>
      <c r="V120" s="21" t="n"/>
      <c r="W120" s="21" t="n"/>
      <c r="X120" s="21" t="n"/>
      <c r="Y120" s="25">
        <f>IF($C120="","",IF(E120="XAUUSD",0.1,IF(ISNUMBER(SEARCH("JPY",E120)),0.01,0.0001)))</f>
        <v/>
      </c>
      <c r="Z120" s="18">
        <f>IF($C120="","",IF(F120="Sell",-1,1))</f>
        <v/>
      </c>
      <c r="AA120" s="18">
        <f>IF($C120="","",IF(E120="XAUUSD",100,100000))</f>
        <v/>
      </c>
      <c r="AB120" s="26">
        <f>IF(OR(K120="",L120=""),"",ABS(K120-L120)/Y120)</f>
        <v/>
      </c>
      <c r="AC120" s="26">
        <f>IF(OR(K120="",M120=""),"",ABS(M120-K120)/Y120)</f>
        <v/>
      </c>
      <c r="AD120" s="26">
        <f>IF(OR(K120="",O120=""),"",(O120-K120)*Z120/Y120)</f>
        <v/>
      </c>
      <c r="AE120" s="27">
        <f>IF(OR(AB120="",AB120=0,AC120=""),"",AC120/AB120)</f>
        <v/>
      </c>
      <c r="AF120" s="27">
        <f>IF(OR(AB120="",AB120=0,AD120=""),"",AD120/AB120)</f>
        <v/>
      </c>
      <c r="AG120" s="27">
        <f>IF(OR(C120="",P120=""),"",((P120+IF(Q120="",0,Q120))-(C120+IF(D120="",0,D120)))*24)</f>
        <v/>
      </c>
      <c r="AH120" s="18">
        <f>IF(AG120="","",INT(AG120/24)&amp;"d "&amp;INT(MOD(AG120,24))&amp;"h "&amp;INT(MOD(AG120*60,60))&amp;"m")</f>
        <v/>
      </c>
      <c r="AI120" s="28">
        <f>IF(OR(O120="",K120="",H120=""),"",IF(OR(E120="XAUUSD",RIGHT(E120,3)="USD"),(O120-K120)*Z120*AA120*H120,IF(LEFT(E120,3)="USD",IF(O120=0,"",(O120-K120)*Z120*AA120*H120/O120),AD120*10*H120)))</f>
        <v/>
      </c>
      <c r="AJ120" s="28">
        <f>IF(O120="","",IF(S120="",IF(AI120="",0,AI120),S120)-IF(R120="",0,R120))</f>
        <v/>
      </c>
      <c r="AK120" s="18">
        <f>IF(C120="","",IF(OR(O120="",P120=""),"Open",IF(ABS(AJ120)&lt;=BEThreshold,"BE",IF(AJ120&gt;0,"Win","Loss"))))</f>
        <v/>
      </c>
      <c r="AL120" s="28">
        <f>IF(OR(C120="",AK120="Open"),"",InitialCapital+SUMIFS($AJ$2:AJ120,$AK$2:AK120,"&lt;&gt;Open"))</f>
        <v/>
      </c>
      <c r="AM120" s="18">
        <f>IF(OR(C120="",AK120=""),"",IF(AK120="Open","No","Yes"))</f>
        <v/>
      </c>
    </row>
    <row r="121" ht="18" customHeight="1">
      <c r="A121" s="18">
        <f>IF(C121="","",COUNTA($C$2:C121))</f>
        <v/>
      </c>
      <c r="B121" s="18">
        <f>IF(C121="","",TEXT(C121,"dddd"))</f>
        <v/>
      </c>
      <c r="C121" s="19" t="n"/>
      <c r="D121" s="20" t="n"/>
      <c r="E121" s="21" t="n"/>
      <c r="F121" s="21" t="n"/>
      <c r="G121" s="21" t="n"/>
      <c r="H121" s="22" t="n"/>
      <c r="I121" s="23" t="n"/>
      <c r="J121" s="22" t="n"/>
      <c r="K121" s="24" t="n"/>
      <c r="L121" s="24" t="n"/>
      <c r="M121" s="24" t="n"/>
      <c r="N121" s="21" t="n"/>
      <c r="O121" s="24" t="n"/>
      <c r="P121" s="19" t="n"/>
      <c r="Q121" s="20" t="n"/>
      <c r="R121" s="23" t="n"/>
      <c r="S121" s="23" t="n"/>
      <c r="T121" s="21" t="n"/>
      <c r="U121" s="21" t="n"/>
      <c r="V121" s="21" t="n"/>
      <c r="W121" s="21" t="n"/>
      <c r="X121" s="21" t="n"/>
      <c r="Y121" s="25">
        <f>IF($C121="","",IF(E121="XAUUSD",0.1,IF(ISNUMBER(SEARCH("JPY",E121)),0.01,0.0001)))</f>
        <v/>
      </c>
      <c r="Z121" s="18">
        <f>IF($C121="","",IF(F121="Sell",-1,1))</f>
        <v/>
      </c>
      <c r="AA121" s="18">
        <f>IF($C121="","",IF(E121="XAUUSD",100,100000))</f>
        <v/>
      </c>
      <c r="AB121" s="26">
        <f>IF(OR(K121="",L121=""),"",ABS(K121-L121)/Y121)</f>
        <v/>
      </c>
      <c r="AC121" s="26">
        <f>IF(OR(K121="",M121=""),"",ABS(M121-K121)/Y121)</f>
        <v/>
      </c>
      <c r="AD121" s="26">
        <f>IF(OR(K121="",O121=""),"",(O121-K121)*Z121/Y121)</f>
        <v/>
      </c>
      <c r="AE121" s="27">
        <f>IF(OR(AB121="",AB121=0,AC121=""),"",AC121/AB121)</f>
        <v/>
      </c>
      <c r="AF121" s="27">
        <f>IF(OR(AB121="",AB121=0,AD121=""),"",AD121/AB121)</f>
        <v/>
      </c>
      <c r="AG121" s="27">
        <f>IF(OR(C121="",P121=""),"",((P121+IF(Q121="",0,Q121))-(C121+IF(D121="",0,D121)))*24)</f>
        <v/>
      </c>
      <c r="AH121" s="18">
        <f>IF(AG121="","",INT(AG121/24)&amp;"d "&amp;INT(MOD(AG121,24))&amp;"h "&amp;INT(MOD(AG121*60,60))&amp;"m")</f>
        <v/>
      </c>
      <c r="AI121" s="28">
        <f>IF(OR(O121="",K121="",H121=""),"",IF(OR(E121="XAUUSD",RIGHT(E121,3)="USD"),(O121-K121)*Z121*AA121*H121,IF(LEFT(E121,3)="USD",IF(O121=0,"",(O121-K121)*Z121*AA121*H121/O121),AD121*10*H121)))</f>
        <v/>
      </c>
      <c r="AJ121" s="28">
        <f>IF(O121="","",IF(S121="",IF(AI121="",0,AI121),S121)-IF(R121="",0,R121))</f>
        <v/>
      </c>
      <c r="AK121" s="18">
        <f>IF(C121="","",IF(OR(O121="",P121=""),"Open",IF(ABS(AJ121)&lt;=BEThreshold,"BE",IF(AJ121&gt;0,"Win","Loss"))))</f>
        <v/>
      </c>
      <c r="AL121" s="28">
        <f>IF(OR(C121="",AK121="Open"),"",InitialCapital+SUMIFS($AJ$2:AJ121,$AK$2:AK121,"&lt;&gt;Open"))</f>
        <v/>
      </c>
      <c r="AM121" s="18">
        <f>IF(OR(C121="",AK121=""),"",IF(AK121="Open","No","Yes"))</f>
        <v/>
      </c>
    </row>
    <row r="122" ht="18" customHeight="1">
      <c r="A122" s="18">
        <f>IF(C122="","",COUNTA($C$2:C122))</f>
        <v/>
      </c>
      <c r="B122" s="18">
        <f>IF(C122="","",TEXT(C122,"dddd"))</f>
        <v/>
      </c>
      <c r="C122" s="19" t="n"/>
      <c r="D122" s="20" t="n"/>
      <c r="E122" s="21" t="n"/>
      <c r="F122" s="21" t="n"/>
      <c r="G122" s="21" t="n"/>
      <c r="H122" s="22" t="n"/>
      <c r="I122" s="23" t="n"/>
      <c r="J122" s="22" t="n"/>
      <c r="K122" s="24" t="n"/>
      <c r="L122" s="24" t="n"/>
      <c r="M122" s="24" t="n"/>
      <c r="N122" s="21" t="n"/>
      <c r="O122" s="24" t="n"/>
      <c r="P122" s="19" t="n"/>
      <c r="Q122" s="20" t="n"/>
      <c r="R122" s="23" t="n"/>
      <c r="S122" s="23" t="n"/>
      <c r="T122" s="21" t="n"/>
      <c r="U122" s="21" t="n"/>
      <c r="V122" s="21" t="n"/>
      <c r="W122" s="21" t="n"/>
      <c r="X122" s="21" t="n"/>
      <c r="Y122" s="25">
        <f>IF($C122="","",IF(E122="XAUUSD",0.1,IF(ISNUMBER(SEARCH("JPY",E122)),0.01,0.0001)))</f>
        <v/>
      </c>
      <c r="Z122" s="18">
        <f>IF($C122="","",IF(F122="Sell",-1,1))</f>
        <v/>
      </c>
      <c r="AA122" s="18">
        <f>IF($C122="","",IF(E122="XAUUSD",100,100000))</f>
        <v/>
      </c>
      <c r="AB122" s="26">
        <f>IF(OR(K122="",L122=""),"",ABS(K122-L122)/Y122)</f>
        <v/>
      </c>
      <c r="AC122" s="26">
        <f>IF(OR(K122="",M122=""),"",ABS(M122-K122)/Y122)</f>
        <v/>
      </c>
      <c r="AD122" s="26">
        <f>IF(OR(K122="",O122=""),"",(O122-K122)*Z122/Y122)</f>
        <v/>
      </c>
      <c r="AE122" s="27">
        <f>IF(OR(AB122="",AB122=0,AC122=""),"",AC122/AB122)</f>
        <v/>
      </c>
      <c r="AF122" s="27">
        <f>IF(OR(AB122="",AB122=0,AD122=""),"",AD122/AB122)</f>
        <v/>
      </c>
      <c r="AG122" s="27">
        <f>IF(OR(C122="",P122=""),"",((P122+IF(Q122="",0,Q122))-(C122+IF(D122="",0,D122)))*24)</f>
        <v/>
      </c>
      <c r="AH122" s="18">
        <f>IF(AG122="","",INT(AG122/24)&amp;"d "&amp;INT(MOD(AG122,24))&amp;"h "&amp;INT(MOD(AG122*60,60))&amp;"m")</f>
        <v/>
      </c>
      <c r="AI122" s="28">
        <f>IF(OR(O122="",K122="",H122=""),"",IF(OR(E122="XAUUSD",RIGHT(E122,3)="USD"),(O122-K122)*Z122*AA122*H122,IF(LEFT(E122,3)="USD",IF(O122=0,"",(O122-K122)*Z122*AA122*H122/O122),AD122*10*H122)))</f>
        <v/>
      </c>
      <c r="AJ122" s="28">
        <f>IF(O122="","",IF(S122="",IF(AI122="",0,AI122),S122)-IF(R122="",0,R122))</f>
        <v/>
      </c>
      <c r="AK122" s="18">
        <f>IF(C122="","",IF(OR(O122="",P122=""),"Open",IF(ABS(AJ122)&lt;=BEThreshold,"BE",IF(AJ122&gt;0,"Win","Loss"))))</f>
        <v/>
      </c>
      <c r="AL122" s="28">
        <f>IF(OR(C122="",AK122="Open"),"",InitialCapital+SUMIFS($AJ$2:AJ122,$AK$2:AK122,"&lt;&gt;Open"))</f>
        <v/>
      </c>
      <c r="AM122" s="18">
        <f>IF(OR(C122="",AK122=""),"",IF(AK122="Open","No","Yes"))</f>
        <v/>
      </c>
    </row>
    <row r="123" ht="18" customHeight="1">
      <c r="A123" s="18">
        <f>IF(C123="","",COUNTA($C$2:C123))</f>
        <v/>
      </c>
      <c r="B123" s="18">
        <f>IF(C123="","",TEXT(C123,"dddd"))</f>
        <v/>
      </c>
      <c r="C123" s="19" t="n"/>
      <c r="D123" s="20" t="n"/>
      <c r="E123" s="21" t="n"/>
      <c r="F123" s="21" t="n"/>
      <c r="G123" s="21" t="n"/>
      <c r="H123" s="22" t="n"/>
      <c r="I123" s="23" t="n"/>
      <c r="J123" s="22" t="n"/>
      <c r="K123" s="24" t="n"/>
      <c r="L123" s="24" t="n"/>
      <c r="M123" s="24" t="n"/>
      <c r="N123" s="21" t="n"/>
      <c r="O123" s="24" t="n"/>
      <c r="P123" s="19" t="n"/>
      <c r="Q123" s="20" t="n"/>
      <c r="R123" s="23" t="n"/>
      <c r="S123" s="23" t="n"/>
      <c r="T123" s="21" t="n"/>
      <c r="U123" s="21" t="n"/>
      <c r="V123" s="21" t="n"/>
      <c r="W123" s="21" t="n"/>
      <c r="X123" s="21" t="n"/>
      <c r="Y123" s="25">
        <f>IF($C123="","",IF(E123="XAUUSD",0.1,IF(ISNUMBER(SEARCH("JPY",E123)),0.01,0.0001)))</f>
        <v/>
      </c>
      <c r="Z123" s="18">
        <f>IF($C123="","",IF(F123="Sell",-1,1))</f>
        <v/>
      </c>
      <c r="AA123" s="18">
        <f>IF($C123="","",IF(E123="XAUUSD",100,100000))</f>
        <v/>
      </c>
      <c r="AB123" s="26">
        <f>IF(OR(K123="",L123=""),"",ABS(K123-L123)/Y123)</f>
        <v/>
      </c>
      <c r="AC123" s="26">
        <f>IF(OR(K123="",M123=""),"",ABS(M123-K123)/Y123)</f>
        <v/>
      </c>
      <c r="AD123" s="26">
        <f>IF(OR(K123="",O123=""),"",(O123-K123)*Z123/Y123)</f>
        <v/>
      </c>
      <c r="AE123" s="27">
        <f>IF(OR(AB123="",AB123=0,AC123=""),"",AC123/AB123)</f>
        <v/>
      </c>
      <c r="AF123" s="27">
        <f>IF(OR(AB123="",AB123=0,AD123=""),"",AD123/AB123)</f>
        <v/>
      </c>
      <c r="AG123" s="27">
        <f>IF(OR(C123="",P123=""),"",((P123+IF(Q123="",0,Q123))-(C123+IF(D123="",0,D123)))*24)</f>
        <v/>
      </c>
      <c r="AH123" s="18">
        <f>IF(AG123="","",INT(AG123/24)&amp;"d "&amp;INT(MOD(AG123,24))&amp;"h "&amp;INT(MOD(AG123*60,60))&amp;"m")</f>
        <v/>
      </c>
      <c r="AI123" s="28">
        <f>IF(OR(O123="",K123="",H123=""),"",IF(OR(E123="XAUUSD",RIGHT(E123,3)="USD"),(O123-K123)*Z123*AA123*H123,IF(LEFT(E123,3)="USD",IF(O123=0,"",(O123-K123)*Z123*AA123*H123/O123),AD123*10*H123)))</f>
        <v/>
      </c>
      <c r="AJ123" s="28">
        <f>IF(O123="","",IF(S123="",IF(AI123="",0,AI123),S123)-IF(R123="",0,R123))</f>
        <v/>
      </c>
      <c r="AK123" s="18">
        <f>IF(C123="","",IF(OR(O123="",P123=""),"Open",IF(ABS(AJ123)&lt;=BEThreshold,"BE",IF(AJ123&gt;0,"Win","Loss"))))</f>
        <v/>
      </c>
      <c r="AL123" s="28">
        <f>IF(OR(C123="",AK123="Open"),"",InitialCapital+SUMIFS($AJ$2:AJ123,$AK$2:AK123,"&lt;&gt;Open"))</f>
        <v/>
      </c>
      <c r="AM123" s="18">
        <f>IF(OR(C123="",AK123=""),"",IF(AK123="Open","No","Yes"))</f>
        <v/>
      </c>
    </row>
    <row r="124" ht="18" customHeight="1">
      <c r="A124" s="18">
        <f>IF(C124="","",COUNTA($C$2:C124))</f>
        <v/>
      </c>
      <c r="B124" s="18">
        <f>IF(C124="","",TEXT(C124,"dddd"))</f>
        <v/>
      </c>
      <c r="C124" s="19" t="n"/>
      <c r="D124" s="20" t="n"/>
      <c r="E124" s="21" t="n"/>
      <c r="F124" s="21" t="n"/>
      <c r="G124" s="21" t="n"/>
      <c r="H124" s="22" t="n"/>
      <c r="I124" s="23" t="n"/>
      <c r="J124" s="22" t="n"/>
      <c r="K124" s="24" t="n"/>
      <c r="L124" s="24" t="n"/>
      <c r="M124" s="24" t="n"/>
      <c r="N124" s="21" t="n"/>
      <c r="O124" s="24" t="n"/>
      <c r="P124" s="19" t="n"/>
      <c r="Q124" s="20" t="n"/>
      <c r="R124" s="23" t="n"/>
      <c r="S124" s="23" t="n"/>
      <c r="T124" s="21" t="n"/>
      <c r="U124" s="21" t="n"/>
      <c r="V124" s="21" t="n"/>
      <c r="W124" s="21" t="n"/>
      <c r="X124" s="21" t="n"/>
      <c r="Y124" s="25">
        <f>IF($C124="","",IF(E124="XAUUSD",0.1,IF(ISNUMBER(SEARCH("JPY",E124)),0.01,0.0001)))</f>
        <v/>
      </c>
      <c r="Z124" s="18">
        <f>IF($C124="","",IF(F124="Sell",-1,1))</f>
        <v/>
      </c>
      <c r="AA124" s="18">
        <f>IF($C124="","",IF(E124="XAUUSD",100,100000))</f>
        <v/>
      </c>
      <c r="AB124" s="26">
        <f>IF(OR(K124="",L124=""),"",ABS(K124-L124)/Y124)</f>
        <v/>
      </c>
      <c r="AC124" s="26">
        <f>IF(OR(K124="",M124=""),"",ABS(M124-K124)/Y124)</f>
        <v/>
      </c>
      <c r="AD124" s="26">
        <f>IF(OR(K124="",O124=""),"",(O124-K124)*Z124/Y124)</f>
        <v/>
      </c>
      <c r="AE124" s="27">
        <f>IF(OR(AB124="",AB124=0,AC124=""),"",AC124/AB124)</f>
        <v/>
      </c>
      <c r="AF124" s="27">
        <f>IF(OR(AB124="",AB124=0,AD124=""),"",AD124/AB124)</f>
        <v/>
      </c>
      <c r="AG124" s="27">
        <f>IF(OR(C124="",P124=""),"",((P124+IF(Q124="",0,Q124))-(C124+IF(D124="",0,D124)))*24)</f>
        <v/>
      </c>
      <c r="AH124" s="18">
        <f>IF(AG124="","",INT(AG124/24)&amp;"d "&amp;INT(MOD(AG124,24))&amp;"h "&amp;INT(MOD(AG124*60,60))&amp;"m")</f>
        <v/>
      </c>
      <c r="AI124" s="28">
        <f>IF(OR(O124="",K124="",H124=""),"",IF(OR(E124="XAUUSD",RIGHT(E124,3)="USD"),(O124-K124)*Z124*AA124*H124,IF(LEFT(E124,3)="USD",IF(O124=0,"",(O124-K124)*Z124*AA124*H124/O124),AD124*10*H124)))</f>
        <v/>
      </c>
      <c r="AJ124" s="28">
        <f>IF(O124="","",IF(S124="",IF(AI124="",0,AI124),S124)-IF(R124="",0,R124))</f>
        <v/>
      </c>
      <c r="AK124" s="18">
        <f>IF(C124="","",IF(OR(O124="",P124=""),"Open",IF(ABS(AJ124)&lt;=BEThreshold,"BE",IF(AJ124&gt;0,"Win","Loss"))))</f>
        <v/>
      </c>
      <c r="AL124" s="28">
        <f>IF(OR(C124="",AK124="Open"),"",InitialCapital+SUMIFS($AJ$2:AJ124,$AK$2:AK124,"&lt;&gt;Open"))</f>
        <v/>
      </c>
      <c r="AM124" s="18">
        <f>IF(OR(C124="",AK124=""),"",IF(AK124="Open","No","Yes"))</f>
        <v/>
      </c>
    </row>
    <row r="125" ht="18" customHeight="1">
      <c r="A125" s="18">
        <f>IF(C125="","",COUNTA($C$2:C125))</f>
        <v/>
      </c>
      <c r="B125" s="18">
        <f>IF(C125="","",TEXT(C125,"dddd"))</f>
        <v/>
      </c>
      <c r="C125" s="19" t="n"/>
      <c r="D125" s="20" t="n"/>
      <c r="E125" s="21" t="n"/>
      <c r="F125" s="21" t="n"/>
      <c r="G125" s="21" t="n"/>
      <c r="H125" s="22" t="n"/>
      <c r="I125" s="23" t="n"/>
      <c r="J125" s="22" t="n"/>
      <c r="K125" s="24" t="n"/>
      <c r="L125" s="24" t="n"/>
      <c r="M125" s="24" t="n"/>
      <c r="N125" s="21" t="n"/>
      <c r="O125" s="24" t="n"/>
      <c r="P125" s="19" t="n"/>
      <c r="Q125" s="20" t="n"/>
      <c r="R125" s="23" t="n"/>
      <c r="S125" s="23" t="n"/>
      <c r="T125" s="21" t="n"/>
      <c r="U125" s="21" t="n"/>
      <c r="V125" s="21" t="n"/>
      <c r="W125" s="21" t="n"/>
      <c r="X125" s="21" t="n"/>
      <c r="Y125" s="25">
        <f>IF($C125="","",IF(E125="XAUUSD",0.1,IF(ISNUMBER(SEARCH("JPY",E125)),0.01,0.0001)))</f>
        <v/>
      </c>
      <c r="Z125" s="18">
        <f>IF($C125="","",IF(F125="Sell",-1,1))</f>
        <v/>
      </c>
      <c r="AA125" s="18">
        <f>IF($C125="","",IF(E125="XAUUSD",100,100000))</f>
        <v/>
      </c>
      <c r="AB125" s="26">
        <f>IF(OR(K125="",L125=""),"",ABS(K125-L125)/Y125)</f>
        <v/>
      </c>
      <c r="AC125" s="26">
        <f>IF(OR(K125="",M125=""),"",ABS(M125-K125)/Y125)</f>
        <v/>
      </c>
      <c r="AD125" s="26">
        <f>IF(OR(K125="",O125=""),"",(O125-K125)*Z125/Y125)</f>
        <v/>
      </c>
      <c r="AE125" s="27">
        <f>IF(OR(AB125="",AB125=0,AC125=""),"",AC125/AB125)</f>
        <v/>
      </c>
      <c r="AF125" s="27">
        <f>IF(OR(AB125="",AB125=0,AD125=""),"",AD125/AB125)</f>
        <v/>
      </c>
      <c r="AG125" s="27">
        <f>IF(OR(C125="",P125=""),"",((P125+IF(Q125="",0,Q125))-(C125+IF(D125="",0,D125)))*24)</f>
        <v/>
      </c>
      <c r="AH125" s="18">
        <f>IF(AG125="","",INT(AG125/24)&amp;"d "&amp;INT(MOD(AG125,24))&amp;"h "&amp;INT(MOD(AG125*60,60))&amp;"m")</f>
        <v/>
      </c>
      <c r="AI125" s="28">
        <f>IF(OR(O125="",K125="",H125=""),"",IF(OR(E125="XAUUSD",RIGHT(E125,3)="USD"),(O125-K125)*Z125*AA125*H125,IF(LEFT(E125,3)="USD",IF(O125=0,"",(O125-K125)*Z125*AA125*H125/O125),AD125*10*H125)))</f>
        <v/>
      </c>
      <c r="AJ125" s="28">
        <f>IF(O125="","",IF(S125="",IF(AI125="",0,AI125),S125)-IF(R125="",0,R125))</f>
        <v/>
      </c>
      <c r="AK125" s="18">
        <f>IF(C125="","",IF(OR(O125="",P125=""),"Open",IF(ABS(AJ125)&lt;=BEThreshold,"BE",IF(AJ125&gt;0,"Win","Loss"))))</f>
        <v/>
      </c>
      <c r="AL125" s="28">
        <f>IF(OR(C125="",AK125="Open"),"",InitialCapital+SUMIFS($AJ$2:AJ125,$AK$2:AK125,"&lt;&gt;Open"))</f>
        <v/>
      </c>
      <c r="AM125" s="18">
        <f>IF(OR(C125="",AK125=""),"",IF(AK125="Open","No","Yes"))</f>
        <v/>
      </c>
    </row>
    <row r="126" ht="18" customHeight="1">
      <c r="A126" s="18">
        <f>IF(C126="","",COUNTA($C$2:C126))</f>
        <v/>
      </c>
      <c r="B126" s="18">
        <f>IF(C126="","",TEXT(C126,"dddd"))</f>
        <v/>
      </c>
      <c r="C126" s="19" t="n"/>
      <c r="D126" s="20" t="n"/>
      <c r="E126" s="21" t="n"/>
      <c r="F126" s="21" t="n"/>
      <c r="G126" s="21" t="n"/>
      <c r="H126" s="22" t="n"/>
      <c r="I126" s="23" t="n"/>
      <c r="J126" s="22" t="n"/>
      <c r="K126" s="24" t="n"/>
      <c r="L126" s="24" t="n"/>
      <c r="M126" s="24" t="n"/>
      <c r="N126" s="21" t="n"/>
      <c r="O126" s="24" t="n"/>
      <c r="P126" s="19" t="n"/>
      <c r="Q126" s="20" t="n"/>
      <c r="R126" s="23" t="n"/>
      <c r="S126" s="23" t="n"/>
      <c r="T126" s="21" t="n"/>
      <c r="U126" s="21" t="n"/>
      <c r="V126" s="21" t="n"/>
      <c r="W126" s="21" t="n"/>
      <c r="X126" s="21" t="n"/>
      <c r="Y126" s="25">
        <f>IF($C126="","",IF(E126="XAUUSD",0.1,IF(ISNUMBER(SEARCH("JPY",E126)),0.01,0.0001)))</f>
        <v/>
      </c>
      <c r="Z126" s="18">
        <f>IF($C126="","",IF(F126="Sell",-1,1))</f>
        <v/>
      </c>
      <c r="AA126" s="18">
        <f>IF($C126="","",IF(E126="XAUUSD",100,100000))</f>
        <v/>
      </c>
      <c r="AB126" s="26">
        <f>IF(OR(K126="",L126=""),"",ABS(K126-L126)/Y126)</f>
        <v/>
      </c>
      <c r="AC126" s="26">
        <f>IF(OR(K126="",M126=""),"",ABS(M126-K126)/Y126)</f>
        <v/>
      </c>
      <c r="AD126" s="26">
        <f>IF(OR(K126="",O126=""),"",(O126-K126)*Z126/Y126)</f>
        <v/>
      </c>
      <c r="AE126" s="27">
        <f>IF(OR(AB126="",AB126=0,AC126=""),"",AC126/AB126)</f>
        <v/>
      </c>
      <c r="AF126" s="27">
        <f>IF(OR(AB126="",AB126=0,AD126=""),"",AD126/AB126)</f>
        <v/>
      </c>
      <c r="AG126" s="27">
        <f>IF(OR(C126="",P126=""),"",((P126+IF(Q126="",0,Q126))-(C126+IF(D126="",0,D126)))*24)</f>
        <v/>
      </c>
      <c r="AH126" s="18">
        <f>IF(AG126="","",INT(AG126/24)&amp;"d "&amp;INT(MOD(AG126,24))&amp;"h "&amp;INT(MOD(AG126*60,60))&amp;"m")</f>
        <v/>
      </c>
      <c r="AI126" s="28">
        <f>IF(OR(O126="",K126="",H126=""),"",IF(OR(E126="XAUUSD",RIGHT(E126,3)="USD"),(O126-K126)*Z126*AA126*H126,IF(LEFT(E126,3)="USD",IF(O126=0,"",(O126-K126)*Z126*AA126*H126/O126),AD126*10*H126)))</f>
        <v/>
      </c>
      <c r="AJ126" s="28">
        <f>IF(O126="","",IF(S126="",IF(AI126="",0,AI126),S126)-IF(R126="",0,R126))</f>
        <v/>
      </c>
      <c r="AK126" s="18">
        <f>IF(C126="","",IF(OR(O126="",P126=""),"Open",IF(ABS(AJ126)&lt;=BEThreshold,"BE",IF(AJ126&gt;0,"Win","Loss"))))</f>
        <v/>
      </c>
      <c r="AL126" s="28">
        <f>IF(OR(C126="",AK126="Open"),"",InitialCapital+SUMIFS($AJ$2:AJ126,$AK$2:AK126,"&lt;&gt;Open"))</f>
        <v/>
      </c>
      <c r="AM126" s="18">
        <f>IF(OR(C126="",AK126=""),"",IF(AK126="Open","No","Yes"))</f>
        <v/>
      </c>
    </row>
    <row r="127" ht="18" customHeight="1">
      <c r="A127" s="18">
        <f>IF(C127="","",COUNTA($C$2:C127))</f>
        <v/>
      </c>
      <c r="B127" s="18">
        <f>IF(C127="","",TEXT(C127,"dddd"))</f>
        <v/>
      </c>
      <c r="C127" s="19" t="n"/>
      <c r="D127" s="20" t="n"/>
      <c r="E127" s="21" t="n"/>
      <c r="F127" s="21" t="n"/>
      <c r="G127" s="21" t="n"/>
      <c r="H127" s="22" t="n"/>
      <c r="I127" s="23" t="n"/>
      <c r="J127" s="22" t="n"/>
      <c r="K127" s="24" t="n"/>
      <c r="L127" s="24" t="n"/>
      <c r="M127" s="24" t="n"/>
      <c r="N127" s="21" t="n"/>
      <c r="O127" s="24" t="n"/>
      <c r="P127" s="19" t="n"/>
      <c r="Q127" s="20" t="n"/>
      <c r="R127" s="23" t="n"/>
      <c r="S127" s="23" t="n"/>
      <c r="T127" s="21" t="n"/>
      <c r="U127" s="21" t="n"/>
      <c r="V127" s="21" t="n"/>
      <c r="W127" s="21" t="n"/>
      <c r="X127" s="21" t="n"/>
      <c r="Y127" s="25">
        <f>IF($C127="","",IF(E127="XAUUSD",0.1,IF(ISNUMBER(SEARCH("JPY",E127)),0.01,0.0001)))</f>
        <v/>
      </c>
      <c r="Z127" s="18">
        <f>IF($C127="","",IF(F127="Sell",-1,1))</f>
        <v/>
      </c>
      <c r="AA127" s="18">
        <f>IF($C127="","",IF(E127="XAUUSD",100,100000))</f>
        <v/>
      </c>
      <c r="AB127" s="26">
        <f>IF(OR(K127="",L127=""),"",ABS(K127-L127)/Y127)</f>
        <v/>
      </c>
      <c r="AC127" s="26">
        <f>IF(OR(K127="",M127=""),"",ABS(M127-K127)/Y127)</f>
        <v/>
      </c>
      <c r="AD127" s="26">
        <f>IF(OR(K127="",O127=""),"",(O127-K127)*Z127/Y127)</f>
        <v/>
      </c>
      <c r="AE127" s="27">
        <f>IF(OR(AB127="",AB127=0,AC127=""),"",AC127/AB127)</f>
        <v/>
      </c>
      <c r="AF127" s="27">
        <f>IF(OR(AB127="",AB127=0,AD127=""),"",AD127/AB127)</f>
        <v/>
      </c>
      <c r="AG127" s="27">
        <f>IF(OR(C127="",P127=""),"",((P127+IF(Q127="",0,Q127))-(C127+IF(D127="",0,D127)))*24)</f>
        <v/>
      </c>
      <c r="AH127" s="18">
        <f>IF(AG127="","",INT(AG127/24)&amp;"d "&amp;INT(MOD(AG127,24))&amp;"h "&amp;INT(MOD(AG127*60,60))&amp;"m")</f>
        <v/>
      </c>
      <c r="AI127" s="28">
        <f>IF(OR(O127="",K127="",H127=""),"",IF(OR(E127="XAUUSD",RIGHT(E127,3)="USD"),(O127-K127)*Z127*AA127*H127,IF(LEFT(E127,3)="USD",IF(O127=0,"",(O127-K127)*Z127*AA127*H127/O127),AD127*10*H127)))</f>
        <v/>
      </c>
      <c r="AJ127" s="28">
        <f>IF(O127="","",IF(S127="",IF(AI127="",0,AI127),S127)-IF(R127="",0,R127))</f>
        <v/>
      </c>
      <c r="AK127" s="18">
        <f>IF(C127="","",IF(OR(O127="",P127=""),"Open",IF(ABS(AJ127)&lt;=BEThreshold,"BE",IF(AJ127&gt;0,"Win","Loss"))))</f>
        <v/>
      </c>
      <c r="AL127" s="28">
        <f>IF(OR(C127="",AK127="Open"),"",InitialCapital+SUMIFS($AJ$2:AJ127,$AK$2:AK127,"&lt;&gt;Open"))</f>
        <v/>
      </c>
      <c r="AM127" s="18">
        <f>IF(OR(C127="",AK127=""),"",IF(AK127="Open","No","Yes"))</f>
        <v/>
      </c>
    </row>
    <row r="128" ht="18" customHeight="1">
      <c r="A128" s="18">
        <f>IF(C128="","",COUNTA($C$2:C128))</f>
        <v/>
      </c>
      <c r="B128" s="18">
        <f>IF(C128="","",TEXT(C128,"dddd"))</f>
        <v/>
      </c>
      <c r="C128" s="19" t="n"/>
      <c r="D128" s="20" t="n"/>
      <c r="E128" s="21" t="n"/>
      <c r="F128" s="21" t="n"/>
      <c r="G128" s="21" t="n"/>
      <c r="H128" s="22" t="n"/>
      <c r="I128" s="23" t="n"/>
      <c r="J128" s="22" t="n"/>
      <c r="K128" s="24" t="n"/>
      <c r="L128" s="24" t="n"/>
      <c r="M128" s="24" t="n"/>
      <c r="N128" s="21" t="n"/>
      <c r="O128" s="24" t="n"/>
      <c r="P128" s="19" t="n"/>
      <c r="Q128" s="20" t="n"/>
      <c r="R128" s="23" t="n"/>
      <c r="S128" s="23" t="n"/>
      <c r="T128" s="21" t="n"/>
      <c r="U128" s="21" t="n"/>
      <c r="V128" s="21" t="n"/>
      <c r="W128" s="21" t="n"/>
      <c r="X128" s="21" t="n"/>
      <c r="Y128" s="25">
        <f>IF($C128="","",IF(E128="XAUUSD",0.1,IF(ISNUMBER(SEARCH("JPY",E128)),0.01,0.0001)))</f>
        <v/>
      </c>
      <c r="Z128" s="18">
        <f>IF($C128="","",IF(F128="Sell",-1,1))</f>
        <v/>
      </c>
      <c r="AA128" s="18">
        <f>IF($C128="","",IF(E128="XAUUSD",100,100000))</f>
        <v/>
      </c>
      <c r="AB128" s="26">
        <f>IF(OR(K128="",L128=""),"",ABS(K128-L128)/Y128)</f>
        <v/>
      </c>
      <c r="AC128" s="26">
        <f>IF(OR(K128="",M128=""),"",ABS(M128-K128)/Y128)</f>
        <v/>
      </c>
      <c r="AD128" s="26">
        <f>IF(OR(K128="",O128=""),"",(O128-K128)*Z128/Y128)</f>
        <v/>
      </c>
      <c r="AE128" s="27">
        <f>IF(OR(AB128="",AB128=0,AC128=""),"",AC128/AB128)</f>
        <v/>
      </c>
      <c r="AF128" s="27">
        <f>IF(OR(AB128="",AB128=0,AD128=""),"",AD128/AB128)</f>
        <v/>
      </c>
      <c r="AG128" s="27">
        <f>IF(OR(C128="",P128=""),"",((P128+IF(Q128="",0,Q128))-(C128+IF(D128="",0,D128)))*24)</f>
        <v/>
      </c>
      <c r="AH128" s="18">
        <f>IF(AG128="","",INT(AG128/24)&amp;"d "&amp;INT(MOD(AG128,24))&amp;"h "&amp;INT(MOD(AG128*60,60))&amp;"m")</f>
        <v/>
      </c>
      <c r="AI128" s="28">
        <f>IF(OR(O128="",K128="",H128=""),"",IF(OR(E128="XAUUSD",RIGHT(E128,3)="USD"),(O128-K128)*Z128*AA128*H128,IF(LEFT(E128,3)="USD",IF(O128=0,"",(O128-K128)*Z128*AA128*H128/O128),AD128*10*H128)))</f>
        <v/>
      </c>
      <c r="AJ128" s="28">
        <f>IF(O128="","",IF(S128="",IF(AI128="",0,AI128),S128)-IF(R128="",0,R128))</f>
        <v/>
      </c>
      <c r="AK128" s="18">
        <f>IF(C128="","",IF(OR(O128="",P128=""),"Open",IF(ABS(AJ128)&lt;=BEThreshold,"BE",IF(AJ128&gt;0,"Win","Loss"))))</f>
        <v/>
      </c>
      <c r="AL128" s="28">
        <f>IF(OR(C128="",AK128="Open"),"",InitialCapital+SUMIFS($AJ$2:AJ128,$AK$2:AK128,"&lt;&gt;Open"))</f>
        <v/>
      </c>
      <c r="AM128" s="18">
        <f>IF(OR(C128="",AK128=""),"",IF(AK128="Open","No","Yes"))</f>
        <v/>
      </c>
    </row>
    <row r="129" ht="18" customHeight="1">
      <c r="A129" s="18">
        <f>IF(C129="","",COUNTA($C$2:C129))</f>
        <v/>
      </c>
      <c r="B129" s="18">
        <f>IF(C129="","",TEXT(C129,"dddd"))</f>
        <v/>
      </c>
      <c r="C129" s="19" t="n"/>
      <c r="D129" s="20" t="n"/>
      <c r="E129" s="21" t="n"/>
      <c r="F129" s="21" t="n"/>
      <c r="G129" s="21" t="n"/>
      <c r="H129" s="22" t="n"/>
      <c r="I129" s="23" t="n"/>
      <c r="J129" s="22" t="n"/>
      <c r="K129" s="24" t="n"/>
      <c r="L129" s="24" t="n"/>
      <c r="M129" s="24" t="n"/>
      <c r="N129" s="21" t="n"/>
      <c r="O129" s="24" t="n"/>
      <c r="P129" s="19" t="n"/>
      <c r="Q129" s="20" t="n"/>
      <c r="R129" s="23" t="n"/>
      <c r="S129" s="23" t="n"/>
      <c r="T129" s="21" t="n"/>
      <c r="U129" s="21" t="n"/>
      <c r="V129" s="21" t="n"/>
      <c r="W129" s="21" t="n"/>
      <c r="X129" s="21" t="n"/>
      <c r="Y129" s="25">
        <f>IF($C129="","",IF(E129="XAUUSD",0.1,IF(ISNUMBER(SEARCH("JPY",E129)),0.01,0.0001)))</f>
        <v/>
      </c>
      <c r="Z129" s="18">
        <f>IF($C129="","",IF(F129="Sell",-1,1))</f>
        <v/>
      </c>
      <c r="AA129" s="18">
        <f>IF($C129="","",IF(E129="XAUUSD",100,100000))</f>
        <v/>
      </c>
      <c r="AB129" s="26">
        <f>IF(OR(K129="",L129=""),"",ABS(K129-L129)/Y129)</f>
        <v/>
      </c>
      <c r="AC129" s="26">
        <f>IF(OR(K129="",M129=""),"",ABS(M129-K129)/Y129)</f>
        <v/>
      </c>
      <c r="AD129" s="26">
        <f>IF(OR(K129="",O129=""),"",(O129-K129)*Z129/Y129)</f>
        <v/>
      </c>
      <c r="AE129" s="27">
        <f>IF(OR(AB129="",AB129=0,AC129=""),"",AC129/AB129)</f>
        <v/>
      </c>
      <c r="AF129" s="27">
        <f>IF(OR(AB129="",AB129=0,AD129=""),"",AD129/AB129)</f>
        <v/>
      </c>
      <c r="AG129" s="27">
        <f>IF(OR(C129="",P129=""),"",((P129+IF(Q129="",0,Q129))-(C129+IF(D129="",0,D129)))*24)</f>
        <v/>
      </c>
      <c r="AH129" s="18">
        <f>IF(AG129="","",INT(AG129/24)&amp;"d "&amp;INT(MOD(AG129,24))&amp;"h "&amp;INT(MOD(AG129*60,60))&amp;"m")</f>
        <v/>
      </c>
      <c r="AI129" s="28">
        <f>IF(OR(O129="",K129="",H129=""),"",IF(OR(E129="XAUUSD",RIGHT(E129,3)="USD"),(O129-K129)*Z129*AA129*H129,IF(LEFT(E129,3)="USD",IF(O129=0,"",(O129-K129)*Z129*AA129*H129/O129),AD129*10*H129)))</f>
        <v/>
      </c>
      <c r="AJ129" s="28">
        <f>IF(O129="","",IF(S129="",IF(AI129="",0,AI129),S129)-IF(R129="",0,R129))</f>
        <v/>
      </c>
      <c r="AK129" s="18">
        <f>IF(C129="","",IF(OR(O129="",P129=""),"Open",IF(ABS(AJ129)&lt;=BEThreshold,"BE",IF(AJ129&gt;0,"Win","Loss"))))</f>
        <v/>
      </c>
      <c r="AL129" s="28">
        <f>IF(OR(C129="",AK129="Open"),"",InitialCapital+SUMIFS($AJ$2:AJ129,$AK$2:AK129,"&lt;&gt;Open"))</f>
        <v/>
      </c>
      <c r="AM129" s="18">
        <f>IF(OR(C129="",AK129=""),"",IF(AK129="Open","No","Yes"))</f>
        <v/>
      </c>
    </row>
    <row r="130" ht="18" customHeight="1">
      <c r="A130" s="18">
        <f>IF(C130="","",COUNTA($C$2:C130))</f>
        <v/>
      </c>
      <c r="B130" s="18">
        <f>IF(C130="","",TEXT(C130,"dddd"))</f>
        <v/>
      </c>
      <c r="C130" s="19" t="n"/>
      <c r="D130" s="20" t="n"/>
      <c r="E130" s="21" t="n"/>
      <c r="F130" s="21" t="n"/>
      <c r="G130" s="21" t="n"/>
      <c r="H130" s="22" t="n"/>
      <c r="I130" s="23" t="n"/>
      <c r="J130" s="22" t="n"/>
      <c r="K130" s="24" t="n"/>
      <c r="L130" s="24" t="n"/>
      <c r="M130" s="24" t="n"/>
      <c r="N130" s="21" t="n"/>
      <c r="O130" s="24" t="n"/>
      <c r="P130" s="19" t="n"/>
      <c r="Q130" s="20" t="n"/>
      <c r="R130" s="23" t="n"/>
      <c r="S130" s="23" t="n"/>
      <c r="T130" s="21" t="n"/>
      <c r="U130" s="21" t="n"/>
      <c r="V130" s="21" t="n"/>
      <c r="W130" s="21" t="n"/>
      <c r="X130" s="21" t="n"/>
      <c r="Y130" s="25">
        <f>IF($C130="","",IF(E130="XAUUSD",0.1,IF(ISNUMBER(SEARCH("JPY",E130)),0.01,0.0001)))</f>
        <v/>
      </c>
      <c r="Z130" s="18">
        <f>IF($C130="","",IF(F130="Sell",-1,1))</f>
        <v/>
      </c>
      <c r="AA130" s="18">
        <f>IF($C130="","",IF(E130="XAUUSD",100,100000))</f>
        <v/>
      </c>
      <c r="AB130" s="26">
        <f>IF(OR(K130="",L130=""),"",ABS(K130-L130)/Y130)</f>
        <v/>
      </c>
      <c r="AC130" s="26">
        <f>IF(OR(K130="",M130=""),"",ABS(M130-K130)/Y130)</f>
        <v/>
      </c>
      <c r="AD130" s="26">
        <f>IF(OR(K130="",O130=""),"",(O130-K130)*Z130/Y130)</f>
        <v/>
      </c>
      <c r="AE130" s="27">
        <f>IF(OR(AB130="",AB130=0,AC130=""),"",AC130/AB130)</f>
        <v/>
      </c>
      <c r="AF130" s="27">
        <f>IF(OR(AB130="",AB130=0,AD130=""),"",AD130/AB130)</f>
        <v/>
      </c>
      <c r="AG130" s="27">
        <f>IF(OR(C130="",P130=""),"",((P130+IF(Q130="",0,Q130))-(C130+IF(D130="",0,D130)))*24)</f>
        <v/>
      </c>
      <c r="AH130" s="18">
        <f>IF(AG130="","",INT(AG130/24)&amp;"d "&amp;INT(MOD(AG130,24))&amp;"h "&amp;INT(MOD(AG130*60,60))&amp;"m")</f>
        <v/>
      </c>
      <c r="AI130" s="28">
        <f>IF(OR(O130="",K130="",H130=""),"",IF(OR(E130="XAUUSD",RIGHT(E130,3)="USD"),(O130-K130)*Z130*AA130*H130,IF(LEFT(E130,3)="USD",IF(O130=0,"",(O130-K130)*Z130*AA130*H130/O130),AD130*10*H130)))</f>
        <v/>
      </c>
      <c r="AJ130" s="28">
        <f>IF(O130="","",IF(S130="",IF(AI130="",0,AI130),S130)-IF(R130="",0,R130))</f>
        <v/>
      </c>
      <c r="AK130" s="18">
        <f>IF(C130="","",IF(OR(O130="",P130=""),"Open",IF(ABS(AJ130)&lt;=BEThreshold,"BE",IF(AJ130&gt;0,"Win","Loss"))))</f>
        <v/>
      </c>
      <c r="AL130" s="28">
        <f>IF(OR(C130="",AK130="Open"),"",InitialCapital+SUMIFS($AJ$2:AJ130,$AK$2:AK130,"&lt;&gt;Open"))</f>
        <v/>
      </c>
      <c r="AM130" s="18">
        <f>IF(OR(C130="",AK130=""),"",IF(AK130="Open","No","Yes"))</f>
        <v/>
      </c>
    </row>
    <row r="131" ht="18" customHeight="1">
      <c r="A131" s="18">
        <f>IF(C131="","",COUNTA($C$2:C131))</f>
        <v/>
      </c>
      <c r="B131" s="18">
        <f>IF(C131="","",TEXT(C131,"dddd"))</f>
        <v/>
      </c>
      <c r="C131" s="19" t="n"/>
      <c r="D131" s="20" t="n"/>
      <c r="E131" s="21" t="n"/>
      <c r="F131" s="21" t="n"/>
      <c r="G131" s="21" t="n"/>
      <c r="H131" s="22" t="n"/>
      <c r="I131" s="23" t="n"/>
      <c r="J131" s="22" t="n"/>
      <c r="K131" s="24" t="n"/>
      <c r="L131" s="24" t="n"/>
      <c r="M131" s="24" t="n"/>
      <c r="N131" s="21" t="n"/>
      <c r="O131" s="24" t="n"/>
      <c r="P131" s="19" t="n"/>
      <c r="Q131" s="20" t="n"/>
      <c r="R131" s="23" t="n"/>
      <c r="S131" s="23" t="n"/>
      <c r="T131" s="21" t="n"/>
      <c r="U131" s="21" t="n"/>
      <c r="V131" s="21" t="n"/>
      <c r="W131" s="21" t="n"/>
      <c r="X131" s="21" t="n"/>
      <c r="Y131" s="25">
        <f>IF($C131="","",IF(E131="XAUUSD",0.1,IF(ISNUMBER(SEARCH("JPY",E131)),0.01,0.0001)))</f>
        <v/>
      </c>
      <c r="Z131" s="18">
        <f>IF($C131="","",IF(F131="Sell",-1,1))</f>
        <v/>
      </c>
      <c r="AA131" s="18">
        <f>IF($C131="","",IF(E131="XAUUSD",100,100000))</f>
        <v/>
      </c>
      <c r="AB131" s="26">
        <f>IF(OR(K131="",L131=""),"",ABS(K131-L131)/Y131)</f>
        <v/>
      </c>
      <c r="AC131" s="26">
        <f>IF(OR(K131="",M131=""),"",ABS(M131-K131)/Y131)</f>
        <v/>
      </c>
      <c r="AD131" s="26">
        <f>IF(OR(K131="",O131=""),"",(O131-K131)*Z131/Y131)</f>
        <v/>
      </c>
      <c r="AE131" s="27">
        <f>IF(OR(AB131="",AB131=0,AC131=""),"",AC131/AB131)</f>
        <v/>
      </c>
      <c r="AF131" s="27">
        <f>IF(OR(AB131="",AB131=0,AD131=""),"",AD131/AB131)</f>
        <v/>
      </c>
      <c r="AG131" s="27">
        <f>IF(OR(C131="",P131=""),"",((P131+IF(Q131="",0,Q131))-(C131+IF(D131="",0,D131)))*24)</f>
        <v/>
      </c>
      <c r="AH131" s="18">
        <f>IF(AG131="","",INT(AG131/24)&amp;"d "&amp;INT(MOD(AG131,24))&amp;"h "&amp;INT(MOD(AG131*60,60))&amp;"m")</f>
        <v/>
      </c>
      <c r="AI131" s="28">
        <f>IF(OR(O131="",K131="",H131=""),"",IF(OR(E131="XAUUSD",RIGHT(E131,3)="USD"),(O131-K131)*Z131*AA131*H131,IF(LEFT(E131,3)="USD",IF(O131=0,"",(O131-K131)*Z131*AA131*H131/O131),AD131*10*H131)))</f>
        <v/>
      </c>
      <c r="AJ131" s="28">
        <f>IF(O131="","",IF(S131="",IF(AI131="",0,AI131),S131)-IF(R131="",0,R131))</f>
        <v/>
      </c>
      <c r="AK131" s="18">
        <f>IF(C131="","",IF(OR(O131="",P131=""),"Open",IF(ABS(AJ131)&lt;=BEThreshold,"BE",IF(AJ131&gt;0,"Win","Loss"))))</f>
        <v/>
      </c>
      <c r="AL131" s="28">
        <f>IF(OR(C131="",AK131="Open"),"",InitialCapital+SUMIFS($AJ$2:AJ131,$AK$2:AK131,"&lt;&gt;Open"))</f>
        <v/>
      </c>
      <c r="AM131" s="18">
        <f>IF(OR(C131="",AK131=""),"",IF(AK131="Open","No","Yes"))</f>
        <v/>
      </c>
    </row>
    <row r="132" ht="18" customHeight="1">
      <c r="A132" s="18">
        <f>IF(C132="","",COUNTA($C$2:C132))</f>
        <v/>
      </c>
      <c r="B132" s="18">
        <f>IF(C132="","",TEXT(C132,"dddd"))</f>
        <v/>
      </c>
      <c r="C132" s="19" t="n"/>
      <c r="D132" s="20" t="n"/>
      <c r="E132" s="21" t="n"/>
      <c r="F132" s="21" t="n"/>
      <c r="G132" s="21" t="n"/>
      <c r="H132" s="22" t="n"/>
      <c r="I132" s="23" t="n"/>
      <c r="J132" s="22" t="n"/>
      <c r="K132" s="24" t="n"/>
      <c r="L132" s="24" t="n"/>
      <c r="M132" s="24" t="n"/>
      <c r="N132" s="21" t="n"/>
      <c r="O132" s="24" t="n"/>
      <c r="P132" s="19" t="n"/>
      <c r="Q132" s="20" t="n"/>
      <c r="R132" s="23" t="n"/>
      <c r="S132" s="23" t="n"/>
      <c r="T132" s="21" t="n"/>
      <c r="U132" s="21" t="n"/>
      <c r="V132" s="21" t="n"/>
      <c r="W132" s="21" t="n"/>
      <c r="X132" s="21" t="n"/>
      <c r="Y132" s="25">
        <f>IF($C132="","",IF(E132="XAUUSD",0.1,IF(ISNUMBER(SEARCH("JPY",E132)),0.01,0.0001)))</f>
        <v/>
      </c>
      <c r="Z132" s="18">
        <f>IF($C132="","",IF(F132="Sell",-1,1))</f>
        <v/>
      </c>
      <c r="AA132" s="18">
        <f>IF($C132="","",IF(E132="XAUUSD",100,100000))</f>
        <v/>
      </c>
      <c r="AB132" s="26">
        <f>IF(OR(K132="",L132=""),"",ABS(K132-L132)/Y132)</f>
        <v/>
      </c>
      <c r="AC132" s="26">
        <f>IF(OR(K132="",M132=""),"",ABS(M132-K132)/Y132)</f>
        <v/>
      </c>
      <c r="AD132" s="26">
        <f>IF(OR(K132="",O132=""),"",(O132-K132)*Z132/Y132)</f>
        <v/>
      </c>
      <c r="AE132" s="27">
        <f>IF(OR(AB132="",AB132=0,AC132=""),"",AC132/AB132)</f>
        <v/>
      </c>
      <c r="AF132" s="27">
        <f>IF(OR(AB132="",AB132=0,AD132=""),"",AD132/AB132)</f>
        <v/>
      </c>
      <c r="AG132" s="27">
        <f>IF(OR(C132="",P132=""),"",((P132+IF(Q132="",0,Q132))-(C132+IF(D132="",0,D132)))*24)</f>
        <v/>
      </c>
      <c r="AH132" s="18">
        <f>IF(AG132="","",INT(AG132/24)&amp;"d "&amp;INT(MOD(AG132,24))&amp;"h "&amp;INT(MOD(AG132*60,60))&amp;"m")</f>
        <v/>
      </c>
      <c r="AI132" s="28">
        <f>IF(OR(O132="",K132="",H132=""),"",IF(OR(E132="XAUUSD",RIGHT(E132,3)="USD"),(O132-K132)*Z132*AA132*H132,IF(LEFT(E132,3)="USD",IF(O132=0,"",(O132-K132)*Z132*AA132*H132/O132),AD132*10*H132)))</f>
        <v/>
      </c>
      <c r="AJ132" s="28">
        <f>IF(O132="","",IF(S132="",IF(AI132="",0,AI132),S132)-IF(R132="",0,R132))</f>
        <v/>
      </c>
      <c r="AK132" s="18">
        <f>IF(C132="","",IF(OR(O132="",P132=""),"Open",IF(ABS(AJ132)&lt;=BEThreshold,"BE",IF(AJ132&gt;0,"Win","Loss"))))</f>
        <v/>
      </c>
      <c r="AL132" s="28">
        <f>IF(OR(C132="",AK132="Open"),"",InitialCapital+SUMIFS($AJ$2:AJ132,$AK$2:AK132,"&lt;&gt;Open"))</f>
        <v/>
      </c>
      <c r="AM132" s="18">
        <f>IF(OR(C132="",AK132=""),"",IF(AK132="Open","No","Yes"))</f>
        <v/>
      </c>
    </row>
    <row r="133" ht="18" customHeight="1">
      <c r="A133" s="18">
        <f>IF(C133="","",COUNTA($C$2:C133))</f>
        <v/>
      </c>
      <c r="B133" s="18">
        <f>IF(C133="","",TEXT(C133,"dddd"))</f>
        <v/>
      </c>
      <c r="C133" s="19" t="n"/>
      <c r="D133" s="20" t="n"/>
      <c r="E133" s="21" t="n"/>
      <c r="F133" s="21" t="n"/>
      <c r="G133" s="21" t="n"/>
      <c r="H133" s="22" t="n"/>
      <c r="I133" s="23" t="n"/>
      <c r="J133" s="22" t="n"/>
      <c r="K133" s="24" t="n"/>
      <c r="L133" s="24" t="n"/>
      <c r="M133" s="24" t="n"/>
      <c r="N133" s="21" t="n"/>
      <c r="O133" s="24" t="n"/>
      <c r="P133" s="19" t="n"/>
      <c r="Q133" s="20" t="n"/>
      <c r="R133" s="23" t="n"/>
      <c r="S133" s="23" t="n"/>
      <c r="T133" s="21" t="n"/>
      <c r="U133" s="21" t="n"/>
      <c r="V133" s="21" t="n"/>
      <c r="W133" s="21" t="n"/>
      <c r="X133" s="21" t="n"/>
      <c r="Y133" s="25">
        <f>IF($C133="","",IF(E133="XAUUSD",0.1,IF(ISNUMBER(SEARCH("JPY",E133)),0.01,0.0001)))</f>
        <v/>
      </c>
      <c r="Z133" s="18">
        <f>IF($C133="","",IF(F133="Sell",-1,1))</f>
        <v/>
      </c>
      <c r="AA133" s="18">
        <f>IF($C133="","",IF(E133="XAUUSD",100,100000))</f>
        <v/>
      </c>
      <c r="AB133" s="26">
        <f>IF(OR(K133="",L133=""),"",ABS(K133-L133)/Y133)</f>
        <v/>
      </c>
      <c r="AC133" s="26">
        <f>IF(OR(K133="",M133=""),"",ABS(M133-K133)/Y133)</f>
        <v/>
      </c>
      <c r="AD133" s="26">
        <f>IF(OR(K133="",O133=""),"",(O133-K133)*Z133/Y133)</f>
        <v/>
      </c>
      <c r="AE133" s="27">
        <f>IF(OR(AB133="",AB133=0,AC133=""),"",AC133/AB133)</f>
        <v/>
      </c>
      <c r="AF133" s="27">
        <f>IF(OR(AB133="",AB133=0,AD133=""),"",AD133/AB133)</f>
        <v/>
      </c>
      <c r="AG133" s="27">
        <f>IF(OR(C133="",P133=""),"",((P133+IF(Q133="",0,Q133))-(C133+IF(D133="",0,D133)))*24)</f>
        <v/>
      </c>
      <c r="AH133" s="18">
        <f>IF(AG133="","",INT(AG133/24)&amp;"d "&amp;INT(MOD(AG133,24))&amp;"h "&amp;INT(MOD(AG133*60,60))&amp;"m")</f>
        <v/>
      </c>
      <c r="AI133" s="28">
        <f>IF(OR(O133="",K133="",H133=""),"",IF(OR(E133="XAUUSD",RIGHT(E133,3)="USD"),(O133-K133)*Z133*AA133*H133,IF(LEFT(E133,3)="USD",IF(O133=0,"",(O133-K133)*Z133*AA133*H133/O133),AD133*10*H133)))</f>
        <v/>
      </c>
      <c r="AJ133" s="28">
        <f>IF(O133="","",IF(S133="",IF(AI133="",0,AI133),S133)-IF(R133="",0,R133))</f>
        <v/>
      </c>
      <c r="AK133" s="18">
        <f>IF(C133="","",IF(OR(O133="",P133=""),"Open",IF(ABS(AJ133)&lt;=BEThreshold,"BE",IF(AJ133&gt;0,"Win","Loss"))))</f>
        <v/>
      </c>
      <c r="AL133" s="28">
        <f>IF(OR(C133="",AK133="Open"),"",InitialCapital+SUMIFS($AJ$2:AJ133,$AK$2:AK133,"&lt;&gt;Open"))</f>
        <v/>
      </c>
      <c r="AM133" s="18">
        <f>IF(OR(C133="",AK133=""),"",IF(AK133="Open","No","Yes"))</f>
        <v/>
      </c>
    </row>
    <row r="134" ht="18" customHeight="1">
      <c r="A134" s="18">
        <f>IF(C134="","",COUNTA($C$2:C134))</f>
        <v/>
      </c>
      <c r="B134" s="18">
        <f>IF(C134="","",TEXT(C134,"dddd"))</f>
        <v/>
      </c>
      <c r="C134" s="19" t="n"/>
      <c r="D134" s="20" t="n"/>
      <c r="E134" s="21" t="n"/>
      <c r="F134" s="21" t="n"/>
      <c r="G134" s="21" t="n"/>
      <c r="H134" s="22" t="n"/>
      <c r="I134" s="23" t="n"/>
      <c r="J134" s="22" t="n"/>
      <c r="K134" s="24" t="n"/>
      <c r="L134" s="24" t="n"/>
      <c r="M134" s="24" t="n"/>
      <c r="N134" s="21" t="n"/>
      <c r="O134" s="24" t="n"/>
      <c r="P134" s="19" t="n"/>
      <c r="Q134" s="20" t="n"/>
      <c r="R134" s="23" t="n"/>
      <c r="S134" s="23" t="n"/>
      <c r="T134" s="21" t="n"/>
      <c r="U134" s="21" t="n"/>
      <c r="V134" s="21" t="n"/>
      <c r="W134" s="21" t="n"/>
      <c r="X134" s="21" t="n"/>
      <c r="Y134" s="25">
        <f>IF($C134="","",IF(E134="XAUUSD",0.1,IF(ISNUMBER(SEARCH("JPY",E134)),0.01,0.0001)))</f>
        <v/>
      </c>
      <c r="Z134" s="18">
        <f>IF($C134="","",IF(F134="Sell",-1,1))</f>
        <v/>
      </c>
      <c r="AA134" s="18">
        <f>IF($C134="","",IF(E134="XAUUSD",100,100000))</f>
        <v/>
      </c>
      <c r="AB134" s="26">
        <f>IF(OR(K134="",L134=""),"",ABS(K134-L134)/Y134)</f>
        <v/>
      </c>
      <c r="AC134" s="26">
        <f>IF(OR(K134="",M134=""),"",ABS(M134-K134)/Y134)</f>
        <v/>
      </c>
      <c r="AD134" s="26">
        <f>IF(OR(K134="",O134=""),"",(O134-K134)*Z134/Y134)</f>
        <v/>
      </c>
      <c r="AE134" s="27">
        <f>IF(OR(AB134="",AB134=0,AC134=""),"",AC134/AB134)</f>
        <v/>
      </c>
      <c r="AF134" s="27">
        <f>IF(OR(AB134="",AB134=0,AD134=""),"",AD134/AB134)</f>
        <v/>
      </c>
      <c r="AG134" s="27">
        <f>IF(OR(C134="",P134=""),"",((P134+IF(Q134="",0,Q134))-(C134+IF(D134="",0,D134)))*24)</f>
        <v/>
      </c>
      <c r="AH134" s="18">
        <f>IF(AG134="","",INT(AG134/24)&amp;"d "&amp;INT(MOD(AG134,24))&amp;"h "&amp;INT(MOD(AG134*60,60))&amp;"m")</f>
        <v/>
      </c>
      <c r="AI134" s="28">
        <f>IF(OR(O134="",K134="",H134=""),"",IF(OR(E134="XAUUSD",RIGHT(E134,3)="USD"),(O134-K134)*Z134*AA134*H134,IF(LEFT(E134,3)="USD",IF(O134=0,"",(O134-K134)*Z134*AA134*H134/O134),AD134*10*H134)))</f>
        <v/>
      </c>
      <c r="AJ134" s="28">
        <f>IF(O134="","",IF(S134="",IF(AI134="",0,AI134),S134)-IF(R134="",0,R134))</f>
        <v/>
      </c>
      <c r="AK134" s="18">
        <f>IF(C134="","",IF(OR(O134="",P134=""),"Open",IF(ABS(AJ134)&lt;=BEThreshold,"BE",IF(AJ134&gt;0,"Win","Loss"))))</f>
        <v/>
      </c>
      <c r="AL134" s="28">
        <f>IF(OR(C134="",AK134="Open"),"",InitialCapital+SUMIFS($AJ$2:AJ134,$AK$2:AK134,"&lt;&gt;Open"))</f>
        <v/>
      </c>
      <c r="AM134" s="18">
        <f>IF(OR(C134="",AK134=""),"",IF(AK134="Open","No","Yes"))</f>
        <v/>
      </c>
    </row>
    <row r="135" ht="18" customHeight="1">
      <c r="A135" s="18">
        <f>IF(C135="","",COUNTA($C$2:C135))</f>
        <v/>
      </c>
      <c r="B135" s="18">
        <f>IF(C135="","",TEXT(C135,"dddd"))</f>
        <v/>
      </c>
      <c r="C135" s="19" t="n"/>
      <c r="D135" s="20" t="n"/>
      <c r="E135" s="21" t="n"/>
      <c r="F135" s="21" t="n"/>
      <c r="G135" s="21" t="n"/>
      <c r="H135" s="22" t="n"/>
      <c r="I135" s="23" t="n"/>
      <c r="J135" s="22" t="n"/>
      <c r="K135" s="24" t="n"/>
      <c r="L135" s="24" t="n"/>
      <c r="M135" s="24" t="n"/>
      <c r="N135" s="21" t="n"/>
      <c r="O135" s="24" t="n"/>
      <c r="P135" s="19" t="n"/>
      <c r="Q135" s="20" t="n"/>
      <c r="R135" s="23" t="n"/>
      <c r="S135" s="23" t="n"/>
      <c r="T135" s="21" t="n"/>
      <c r="U135" s="21" t="n"/>
      <c r="V135" s="21" t="n"/>
      <c r="W135" s="21" t="n"/>
      <c r="X135" s="21" t="n"/>
      <c r="Y135" s="25">
        <f>IF($C135="","",IF(E135="XAUUSD",0.1,IF(ISNUMBER(SEARCH("JPY",E135)),0.01,0.0001)))</f>
        <v/>
      </c>
      <c r="Z135" s="18">
        <f>IF($C135="","",IF(F135="Sell",-1,1))</f>
        <v/>
      </c>
      <c r="AA135" s="18">
        <f>IF($C135="","",IF(E135="XAUUSD",100,100000))</f>
        <v/>
      </c>
      <c r="AB135" s="26">
        <f>IF(OR(K135="",L135=""),"",ABS(K135-L135)/Y135)</f>
        <v/>
      </c>
      <c r="AC135" s="26">
        <f>IF(OR(K135="",M135=""),"",ABS(M135-K135)/Y135)</f>
        <v/>
      </c>
      <c r="AD135" s="26">
        <f>IF(OR(K135="",O135=""),"",(O135-K135)*Z135/Y135)</f>
        <v/>
      </c>
      <c r="AE135" s="27">
        <f>IF(OR(AB135="",AB135=0,AC135=""),"",AC135/AB135)</f>
        <v/>
      </c>
      <c r="AF135" s="27">
        <f>IF(OR(AB135="",AB135=0,AD135=""),"",AD135/AB135)</f>
        <v/>
      </c>
      <c r="AG135" s="27">
        <f>IF(OR(C135="",P135=""),"",((P135+IF(Q135="",0,Q135))-(C135+IF(D135="",0,D135)))*24)</f>
        <v/>
      </c>
      <c r="AH135" s="18">
        <f>IF(AG135="","",INT(AG135/24)&amp;"d "&amp;INT(MOD(AG135,24))&amp;"h "&amp;INT(MOD(AG135*60,60))&amp;"m")</f>
        <v/>
      </c>
      <c r="AI135" s="28">
        <f>IF(OR(O135="",K135="",H135=""),"",IF(OR(E135="XAUUSD",RIGHT(E135,3)="USD"),(O135-K135)*Z135*AA135*H135,IF(LEFT(E135,3)="USD",IF(O135=0,"",(O135-K135)*Z135*AA135*H135/O135),AD135*10*H135)))</f>
        <v/>
      </c>
      <c r="AJ135" s="28">
        <f>IF(O135="","",IF(S135="",IF(AI135="",0,AI135),S135)-IF(R135="",0,R135))</f>
        <v/>
      </c>
      <c r="AK135" s="18">
        <f>IF(C135="","",IF(OR(O135="",P135=""),"Open",IF(ABS(AJ135)&lt;=BEThreshold,"BE",IF(AJ135&gt;0,"Win","Loss"))))</f>
        <v/>
      </c>
      <c r="AL135" s="28">
        <f>IF(OR(C135="",AK135="Open"),"",InitialCapital+SUMIFS($AJ$2:AJ135,$AK$2:AK135,"&lt;&gt;Open"))</f>
        <v/>
      </c>
      <c r="AM135" s="18">
        <f>IF(OR(C135="",AK135=""),"",IF(AK135="Open","No","Yes"))</f>
        <v/>
      </c>
    </row>
    <row r="136" ht="18" customHeight="1">
      <c r="A136" s="18">
        <f>IF(C136="","",COUNTA($C$2:C136))</f>
        <v/>
      </c>
      <c r="B136" s="18">
        <f>IF(C136="","",TEXT(C136,"dddd"))</f>
        <v/>
      </c>
      <c r="C136" s="19" t="n"/>
      <c r="D136" s="20" t="n"/>
      <c r="E136" s="21" t="n"/>
      <c r="F136" s="21" t="n"/>
      <c r="G136" s="21" t="n"/>
      <c r="H136" s="22" t="n"/>
      <c r="I136" s="23" t="n"/>
      <c r="J136" s="22" t="n"/>
      <c r="K136" s="24" t="n"/>
      <c r="L136" s="24" t="n"/>
      <c r="M136" s="24" t="n"/>
      <c r="N136" s="21" t="n"/>
      <c r="O136" s="24" t="n"/>
      <c r="P136" s="19" t="n"/>
      <c r="Q136" s="20" t="n"/>
      <c r="R136" s="23" t="n"/>
      <c r="S136" s="23" t="n"/>
      <c r="T136" s="21" t="n"/>
      <c r="U136" s="21" t="n"/>
      <c r="V136" s="21" t="n"/>
      <c r="W136" s="21" t="n"/>
      <c r="X136" s="21" t="n"/>
      <c r="Y136" s="25">
        <f>IF($C136="","",IF(E136="XAUUSD",0.1,IF(ISNUMBER(SEARCH("JPY",E136)),0.01,0.0001)))</f>
        <v/>
      </c>
      <c r="Z136" s="18">
        <f>IF($C136="","",IF(F136="Sell",-1,1))</f>
        <v/>
      </c>
      <c r="AA136" s="18">
        <f>IF($C136="","",IF(E136="XAUUSD",100,100000))</f>
        <v/>
      </c>
      <c r="AB136" s="26">
        <f>IF(OR(K136="",L136=""),"",ABS(K136-L136)/Y136)</f>
        <v/>
      </c>
      <c r="AC136" s="26">
        <f>IF(OR(K136="",M136=""),"",ABS(M136-K136)/Y136)</f>
        <v/>
      </c>
      <c r="AD136" s="26">
        <f>IF(OR(K136="",O136=""),"",(O136-K136)*Z136/Y136)</f>
        <v/>
      </c>
      <c r="AE136" s="27">
        <f>IF(OR(AB136="",AB136=0,AC136=""),"",AC136/AB136)</f>
        <v/>
      </c>
      <c r="AF136" s="27">
        <f>IF(OR(AB136="",AB136=0,AD136=""),"",AD136/AB136)</f>
        <v/>
      </c>
      <c r="AG136" s="27">
        <f>IF(OR(C136="",P136=""),"",((P136+IF(Q136="",0,Q136))-(C136+IF(D136="",0,D136)))*24)</f>
        <v/>
      </c>
      <c r="AH136" s="18">
        <f>IF(AG136="","",INT(AG136/24)&amp;"d "&amp;INT(MOD(AG136,24))&amp;"h "&amp;INT(MOD(AG136*60,60))&amp;"m")</f>
        <v/>
      </c>
      <c r="AI136" s="28">
        <f>IF(OR(O136="",K136="",H136=""),"",IF(OR(E136="XAUUSD",RIGHT(E136,3)="USD"),(O136-K136)*Z136*AA136*H136,IF(LEFT(E136,3)="USD",IF(O136=0,"",(O136-K136)*Z136*AA136*H136/O136),AD136*10*H136)))</f>
        <v/>
      </c>
      <c r="AJ136" s="28">
        <f>IF(O136="","",IF(S136="",IF(AI136="",0,AI136),S136)-IF(R136="",0,R136))</f>
        <v/>
      </c>
      <c r="AK136" s="18">
        <f>IF(C136="","",IF(OR(O136="",P136=""),"Open",IF(ABS(AJ136)&lt;=BEThreshold,"BE",IF(AJ136&gt;0,"Win","Loss"))))</f>
        <v/>
      </c>
      <c r="AL136" s="28">
        <f>IF(OR(C136="",AK136="Open"),"",InitialCapital+SUMIFS($AJ$2:AJ136,$AK$2:AK136,"&lt;&gt;Open"))</f>
        <v/>
      </c>
      <c r="AM136" s="18">
        <f>IF(OR(C136="",AK136=""),"",IF(AK136="Open","No","Yes"))</f>
        <v/>
      </c>
    </row>
    <row r="137" ht="18" customHeight="1">
      <c r="A137" s="18">
        <f>IF(C137="","",COUNTA($C$2:C137))</f>
        <v/>
      </c>
      <c r="B137" s="18">
        <f>IF(C137="","",TEXT(C137,"dddd"))</f>
        <v/>
      </c>
      <c r="C137" s="19" t="n"/>
      <c r="D137" s="20" t="n"/>
      <c r="E137" s="21" t="n"/>
      <c r="F137" s="21" t="n"/>
      <c r="G137" s="21" t="n"/>
      <c r="H137" s="22" t="n"/>
      <c r="I137" s="23" t="n"/>
      <c r="J137" s="22" t="n"/>
      <c r="K137" s="24" t="n"/>
      <c r="L137" s="24" t="n"/>
      <c r="M137" s="24" t="n"/>
      <c r="N137" s="21" t="n"/>
      <c r="O137" s="24" t="n"/>
      <c r="P137" s="19" t="n"/>
      <c r="Q137" s="20" t="n"/>
      <c r="R137" s="23" t="n"/>
      <c r="S137" s="23" t="n"/>
      <c r="T137" s="21" t="n"/>
      <c r="U137" s="21" t="n"/>
      <c r="V137" s="21" t="n"/>
      <c r="W137" s="21" t="n"/>
      <c r="X137" s="21" t="n"/>
      <c r="Y137" s="25">
        <f>IF($C137="","",IF(E137="XAUUSD",0.1,IF(ISNUMBER(SEARCH("JPY",E137)),0.01,0.0001)))</f>
        <v/>
      </c>
      <c r="Z137" s="18">
        <f>IF($C137="","",IF(F137="Sell",-1,1))</f>
        <v/>
      </c>
      <c r="AA137" s="18">
        <f>IF($C137="","",IF(E137="XAUUSD",100,100000))</f>
        <v/>
      </c>
      <c r="AB137" s="26">
        <f>IF(OR(K137="",L137=""),"",ABS(K137-L137)/Y137)</f>
        <v/>
      </c>
      <c r="AC137" s="26">
        <f>IF(OR(K137="",M137=""),"",ABS(M137-K137)/Y137)</f>
        <v/>
      </c>
      <c r="AD137" s="26">
        <f>IF(OR(K137="",O137=""),"",(O137-K137)*Z137/Y137)</f>
        <v/>
      </c>
      <c r="AE137" s="27">
        <f>IF(OR(AB137="",AB137=0,AC137=""),"",AC137/AB137)</f>
        <v/>
      </c>
      <c r="AF137" s="27">
        <f>IF(OR(AB137="",AB137=0,AD137=""),"",AD137/AB137)</f>
        <v/>
      </c>
      <c r="AG137" s="27">
        <f>IF(OR(C137="",P137=""),"",((P137+IF(Q137="",0,Q137))-(C137+IF(D137="",0,D137)))*24)</f>
        <v/>
      </c>
      <c r="AH137" s="18">
        <f>IF(AG137="","",INT(AG137/24)&amp;"d "&amp;INT(MOD(AG137,24))&amp;"h "&amp;INT(MOD(AG137*60,60))&amp;"m")</f>
        <v/>
      </c>
      <c r="AI137" s="28">
        <f>IF(OR(O137="",K137="",H137=""),"",IF(OR(E137="XAUUSD",RIGHT(E137,3)="USD"),(O137-K137)*Z137*AA137*H137,IF(LEFT(E137,3)="USD",IF(O137=0,"",(O137-K137)*Z137*AA137*H137/O137),AD137*10*H137)))</f>
        <v/>
      </c>
      <c r="AJ137" s="28">
        <f>IF(O137="","",IF(S137="",IF(AI137="",0,AI137),S137)-IF(R137="",0,R137))</f>
        <v/>
      </c>
      <c r="AK137" s="18">
        <f>IF(C137="","",IF(OR(O137="",P137=""),"Open",IF(ABS(AJ137)&lt;=BEThreshold,"BE",IF(AJ137&gt;0,"Win","Loss"))))</f>
        <v/>
      </c>
      <c r="AL137" s="28">
        <f>IF(OR(C137="",AK137="Open"),"",InitialCapital+SUMIFS($AJ$2:AJ137,$AK$2:AK137,"&lt;&gt;Open"))</f>
        <v/>
      </c>
      <c r="AM137" s="18">
        <f>IF(OR(C137="",AK137=""),"",IF(AK137="Open","No","Yes"))</f>
        <v/>
      </c>
    </row>
    <row r="138" ht="18" customHeight="1">
      <c r="A138" s="18">
        <f>IF(C138="","",COUNTA($C$2:C138))</f>
        <v/>
      </c>
      <c r="B138" s="18">
        <f>IF(C138="","",TEXT(C138,"dddd"))</f>
        <v/>
      </c>
      <c r="C138" s="19" t="n"/>
      <c r="D138" s="20" t="n"/>
      <c r="E138" s="21" t="n"/>
      <c r="F138" s="21" t="n"/>
      <c r="G138" s="21" t="n"/>
      <c r="H138" s="22" t="n"/>
      <c r="I138" s="23" t="n"/>
      <c r="J138" s="22" t="n"/>
      <c r="K138" s="24" t="n"/>
      <c r="L138" s="24" t="n"/>
      <c r="M138" s="24" t="n"/>
      <c r="N138" s="21" t="n"/>
      <c r="O138" s="24" t="n"/>
      <c r="P138" s="19" t="n"/>
      <c r="Q138" s="20" t="n"/>
      <c r="R138" s="23" t="n"/>
      <c r="S138" s="23" t="n"/>
      <c r="T138" s="21" t="n"/>
      <c r="U138" s="21" t="n"/>
      <c r="V138" s="21" t="n"/>
      <c r="W138" s="21" t="n"/>
      <c r="X138" s="21" t="n"/>
      <c r="Y138" s="25">
        <f>IF($C138="","",IF(E138="XAUUSD",0.1,IF(ISNUMBER(SEARCH("JPY",E138)),0.01,0.0001)))</f>
        <v/>
      </c>
      <c r="Z138" s="18">
        <f>IF($C138="","",IF(F138="Sell",-1,1))</f>
        <v/>
      </c>
      <c r="AA138" s="18">
        <f>IF($C138="","",IF(E138="XAUUSD",100,100000))</f>
        <v/>
      </c>
      <c r="AB138" s="26">
        <f>IF(OR(K138="",L138=""),"",ABS(K138-L138)/Y138)</f>
        <v/>
      </c>
      <c r="AC138" s="26">
        <f>IF(OR(K138="",M138=""),"",ABS(M138-K138)/Y138)</f>
        <v/>
      </c>
      <c r="AD138" s="26">
        <f>IF(OR(K138="",O138=""),"",(O138-K138)*Z138/Y138)</f>
        <v/>
      </c>
      <c r="AE138" s="27">
        <f>IF(OR(AB138="",AB138=0,AC138=""),"",AC138/AB138)</f>
        <v/>
      </c>
      <c r="AF138" s="27">
        <f>IF(OR(AB138="",AB138=0,AD138=""),"",AD138/AB138)</f>
        <v/>
      </c>
      <c r="AG138" s="27">
        <f>IF(OR(C138="",P138=""),"",((P138+IF(Q138="",0,Q138))-(C138+IF(D138="",0,D138)))*24)</f>
        <v/>
      </c>
      <c r="AH138" s="18">
        <f>IF(AG138="","",INT(AG138/24)&amp;"d "&amp;INT(MOD(AG138,24))&amp;"h "&amp;INT(MOD(AG138*60,60))&amp;"m")</f>
        <v/>
      </c>
      <c r="AI138" s="28">
        <f>IF(OR(O138="",K138="",H138=""),"",IF(OR(E138="XAUUSD",RIGHT(E138,3)="USD"),(O138-K138)*Z138*AA138*H138,IF(LEFT(E138,3)="USD",IF(O138=0,"",(O138-K138)*Z138*AA138*H138/O138),AD138*10*H138)))</f>
        <v/>
      </c>
      <c r="AJ138" s="28">
        <f>IF(O138="","",IF(S138="",IF(AI138="",0,AI138),S138)-IF(R138="",0,R138))</f>
        <v/>
      </c>
      <c r="AK138" s="18">
        <f>IF(C138="","",IF(OR(O138="",P138=""),"Open",IF(ABS(AJ138)&lt;=BEThreshold,"BE",IF(AJ138&gt;0,"Win","Loss"))))</f>
        <v/>
      </c>
      <c r="AL138" s="28">
        <f>IF(OR(C138="",AK138="Open"),"",InitialCapital+SUMIFS($AJ$2:AJ138,$AK$2:AK138,"&lt;&gt;Open"))</f>
        <v/>
      </c>
      <c r="AM138" s="18">
        <f>IF(OR(C138="",AK138=""),"",IF(AK138="Open","No","Yes"))</f>
        <v/>
      </c>
    </row>
    <row r="139" ht="18" customHeight="1">
      <c r="A139" s="18">
        <f>IF(C139="","",COUNTA($C$2:C139))</f>
        <v/>
      </c>
      <c r="B139" s="18">
        <f>IF(C139="","",TEXT(C139,"dddd"))</f>
        <v/>
      </c>
      <c r="C139" s="19" t="n"/>
      <c r="D139" s="20" t="n"/>
      <c r="E139" s="21" t="n"/>
      <c r="F139" s="21" t="n"/>
      <c r="G139" s="21" t="n"/>
      <c r="H139" s="22" t="n"/>
      <c r="I139" s="23" t="n"/>
      <c r="J139" s="22" t="n"/>
      <c r="K139" s="24" t="n"/>
      <c r="L139" s="24" t="n"/>
      <c r="M139" s="24" t="n"/>
      <c r="N139" s="21" t="n"/>
      <c r="O139" s="24" t="n"/>
      <c r="P139" s="19" t="n"/>
      <c r="Q139" s="20" t="n"/>
      <c r="R139" s="23" t="n"/>
      <c r="S139" s="23" t="n"/>
      <c r="T139" s="21" t="n"/>
      <c r="U139" s="21" t="n"/>
      <c r="V139" s="21" t="n"/>
      <c r="W139" s="21" t="n"/>
      <c r="X139" s="21" t="n"/>
      <c r="Y139" s="25">
        <f>IF($C139="","",IF(E139="XAUUSD",0.1,IF(ISNUMBER(SEARCH("JPY",E139)),0.01,0.0001)))</f>
        <v/>
      </c>
      <c r="Z139" s="18">
        <f>IF($C139="","",IF(F139="Sell",-1,1))</f>
        <v/>
      </c>
      <c r="AA139" s="18">
        <f>IF($C139="","",IF(E139="XAUUSD",100,100000))</f>
        <v/>
      </c>
      <c r="AB139" s="26">
        <f>IF(OR(K139="",L139=""),"",ABS(K139-L139)/Y139)</f>
        <v/>
      </c>
      <c r="AC139" s="26">
        <f>IF(OR(K139="",M139=""),"",ABS(M139-K139)/Y139)</f>
        <v/>
      </c>
      <c r="AD139" s="26">
        <f>IF(OR(K139="",O139=""),"",(O139-K139)*Z139/Y139)</f>
        <v/>
      </c>
      <c r="AE139" s="27">
        <f>IF(OR(AB139="",AB139=0,AC139=""),"",AC139/AB139)</f>
        <v/>
      </c>
      <c r="AF139" s="27">
        <f>IF(OR(AB139="",AB139=0,AD139=""),"",AD139/AB139)</f>
        <v/>
      </c>
      <c r="AG139" s="27">
        <f>IF(OR(C139="",P139=""),"",((P139+IF(Q139="",0,Q139))-(C139+IF(D139="",0,D139)))*24)</f>
        <v/>
      </c>
      <c r="AH139" s="18">
        <f>IF(AG139="","",INT(AG139/24)&amp;"d "&amp;INT(MOD(AG139,24))&amp;"h "&amp;INT(MOD(AG139*60,60))&amp;"m")</f>
        <v/>
      </c>
      <c r="AI139" s="28">
        <f>IF(OR(O139="",K139="",H139=""),"",IF(OR(E139="XAUUSD",RIGHT(E139,3)="USD"),(O139-K139)*Z139*AA139*H139,IF(LEFT(E139,3)="USD",IF(O139=0,"",(O139-K139)*Z139*AA139*H139/O139),AD139*10*H139)))</f>
        <v/>
      </c>
      <c r="AJ139" s="28">
        <f>IF(O139="","",IF(S139="",IF(AI139="",0,AI139),S139)-IF(R139="",0,R139))</f>
        <v/>
      </c>
      <c r="AK139" s="18">
        <f>IF(C139="","",IF(OR(O139="",P139=""),"Open",IF(ABS(AJ139)&lt;=BEThreshold,"BE",IF(AJ139&gt;0,"Win","Loss"))))</f>
        <v/>
      </c>
      <c r="AL139" s="28">
        <f>IF(OR(C139="",AK139="Open"),"",InitialCapital+SUMIFS($AJ$2:AJ139,$AK$2:AK139,"&lt;&gt;Open"))</f>
        <v/>
      </c>
      <c r="AM139" s="18">
        <f>IF(OR(C139="",AK139=""),"",IF(AK139="Open","No","Yes"))</f>
        <v/>
      </c>
    </row>
    <row r="140" ht="18" customHeight="1">
      <c r="A140" s="18">
        <f>IF(C140="","",COUNTA($C$2:C140))</f>
        <v/>
      </c>
      <c r="B140" s="18">
        <f>IF(C140="","",TEXT(C140,"dddd"))</f>
        <v/>
      </c>
      <c r="C140" s="19" t="n"/>
      <c r="D140" s="20" t="n"/>
      <c r="E140" s="21" t="n"/>
      <c r="F140" s="21" t="n"/>
      <c r="G140" s="21" t="n"/>
      <c r="H140" s="22" t="n"/>
      <c r="I140" s="23" t="n"/>
      <c r="J140" s="22" t="n"/>
      <c r="K140" s="24" t="n"/>
      <c r="L140" s="24" t="n"/>
      <c r="M140" s="24" t="n"/>
      <c r="N140" s="21" t="n"/>
      <c r="O140" s="24" t="n"/>
      <c r="P140" s="19" t="n"/>
      <c r="Q140" s="20" t="n"/>
      <c r="R140" s="23" t="n"/>
      <c r="S140" s="23" t="n"/>
      <c r="T140" s="21" t="n"/>
      <c r="U140" s="21" t="n"/>
      <c r="V140" s="21" t="n"/>
      <c r="W140" s="21" t="n"/>
      <c r="X140" s="21" t="n"/>
      <c r="Y140" s="25">
        <f>IF($C140="","",IF(E140="XAUUSD",0.1,IF(ISNUMBER(SEARCH("JPY",E140)),0.01,0.0001)))</f>
        <v/>
      </c>
      <c r="Z140" s="18">
        <f>IF($C140="","",IF(F140="Sell",-1,1))</f>
        <v/>
      </c>
      <c r="AA140" s="18">
        <f>IF($C140="","",IF(E140="XAUUSD",100,100000))</f>
        <v/>
      </c>
      <c r="AB140" s="26">
        <f>IF(OR(K140="",L140=""),"",ABS(K140-L140)/Y140)</f>
        <v/>
      </c>
      <c r="AC140" s="26">
        <f>IF(OR(K140="",M140=""),"",ABS(M140-K140)/Y140)</f>
        <v/>
      </c>
      <c r="AD140" s="26">
        <f>IF(OR(K140="",O140=""),"",(O140-K140)*Z140/Y140)</f>
        <v/>
      </c>
      <c r="AE140" s="27">
        <f>IF(OR(AB140="",AB140=0,AC140=""),"",AC140/AB140)</f>
        <v/>
      </c>
      <c r="AF140" s="27">
        <f>IF(OR(AB140="",AB140=0,AD140=""),"",AD140/AB140)</f>
        <v/>
      </c>
      <c r="AG140" s="27">
        <f>IF(OR(C140="",P140=""),"",((P140+IF(Q140="",0,Q140))-(C140+IF(D140="",0,D140)))*24)</f>
        <v/>
      </c>
      <c r="AH140" s="18">
        <f>IF(AG140="","",INT(AG140/24)&amp;"d "&amp;INT(MOD(AG140,24))&amp;"h "&amp;INT(MOD(AG140*60,60))&amp;"m")</f>
        <v/>
      </c>
      <c r="AI140" s="28">
        <f>IF(OR(O140="",K140="",H140=""),"",IF(OR(E140="XAUUSD",RIGHT(E140,3)="USD"),(O140-K140)*Z140*AA140*H140,IF(LEFT(E140,3)="USD",IF(O140=0,"",(O140-K140)*Z140*AA140*H140/O140),AD140*10*H140)))</f>
        <v/>
      </c>
      <c r="AJ140" s="28">
        <f>IF(O140="","",IF(S140="",IF(AI140="",0,AI140),S140)-IF(R140="",0,R140))</f>
        <v/>
      </c>
      <c r="AK140" s="18">
        <f>IF(C140="","",IF(OR(O140="",P140=""),"Open",IF(ABS(AJ140)&lt;=BEThreshold,"BE",IF(AJ140&gt;0,"Win","Loss"))))</f>
        <v/>
      </c>
      <c r="AL140" s="28">
        <f>IF(OR(C140="",AK140="Open"),"",InitialCapital+SUMIFS($AJ$2:AJ140,$AK$2:AK140,"&lt;&gt;Open"))</f>
        <v/>
      </c>
      <c r="AM140" s="18">
        <f>IF(OR(C140="",AK140=""),"",IF(AK140="Open","No","Yes"))</f>
        <v/>
      </c>
    </row>
    <row r="141" ht="18" customHeight="1">
      <c r="A141" s="18">
        <f>IF(C141="","",COUNTA($C$2:C141))</f>
        <v/>
      </c>
      <c r="B141" s="18">
        <f>IF(C141="","",TEXT(C141,"dddd"))</f>
        <v/>
      </c>
      <c r="C141" s="19" t="n"/>
      <c r="D141" s="20" t="n"/>
      <c r="E141" s="21" t="n"/>
      <c r="F141" s="21" t="n"/>
      <c r="G141" s="21" t="n"/>
      <c r="H141" s="22" t="n"/>
      <c r="I141" s="23" t="n"/>
      <c r="J141" s="22" t="n"/>
      <c r="K141" s="24" t="n"/>
      <c r="L141" s="24" t="n"/>
      <c r="M141" s="24" t="n"/>
      <c r="N141" s="21" t="n"/>
      <c r="O141" s="24" t="n"/>
      <c r="P141" s="19" t="n"/>
      <c r="Q141" s="20" t="n"/>
      <c r="R141" s="23" t="n"/>
      <c r="S141" s="23" t="n"/>
      <c r="T141" s="21" t="n"/>
      <c r="U141" s="21" t="n"/>
      <c r="V141" s="21" t="n"/>
      <c r="W141" s="21" t="n"/>
      <c r="X141" s="21" t="n"/>
      <c r="Y141" s="25">
        <f>IF($C141="","",IF(E141="XAUUSD",0.1,IF(ISNUMBER(SEARCH("JPY",E141)),0.01,0.0001)))</f>
        <v/>
      </c>
      <c r="Z141" s="18">
        <f>IF($C141="","",IF(F141="Sell",-1,1))</f>
        <v/>
      </c>
      <c r="AA141" s="18">
        <f>IF($C141="","",IF(E141="XAUUSD",100,100000))</f>
        <v/>
      </c>
      <c r="AB141" s="26">
        <f>IF(OR(K141="",L141=""),"",ABS(K141-L141)/Y141)</f>
        <v/>
      </c>
      <c r="AC141" s="26">
        <f>IF(OR(K141="",M141=""),"",ABS(M141-K141)/Y141)</f>
        <v/>
      </c>
      <c r="AD141" s="26">
        <f>IF(OR(K141="",O141=""),"",(O141-K141)*Z141/Y141)</f>
        <v/>
      </c>
      <c r="AE141" s="27">
        <f>IF(OR(AB141="",AB141=0,AC141=""),"",AC141/AB141)</f>
        <v/>
      </c>
      <c r="AF141" s="27">
        <f>IF(OR(AB141="",AB141=0,AD141=""),"",AD141/AB141)</f>
        <v/>
      </c>
      <c r="AG141" s="27">
        <f>IF(OR(C141="",P141=""),"",((P141+IF(Q141="",0,Q141))-(C141+IF(D141="",0,D141)))*24)</f>
        <v/>
      </c>
      <c r="AH141" s="18">
        <f>IF(AG141="","",INT(AG141/24)&amp;"d "&amp;INT(MOD(AG141,24))&amp;"h "&amp;INT(MOD(AG141*60,60))&amp;"m")</f>
        <v/>
      </c>
      <c r="AI141" s="28">
        <f>IF(OR(O141="",K141="",H141=""),"",IF(OR(E141="XAUUSD",RIGHT(E141,3)="USD"),(O141-K141)*Z141*AA141*H141,IF(LEFT(E141,3)="USD",IF(O141=0,"",(O141-K141)*Z141*AA141*H141/O141),AD141*10*H141)))</f>
        <v/>
      </c>
      <c r="AJ141" s="28">
        <f>IF(O141="","",IF(S141="",IF(AI141="",0,AI141),S141)-IF(R141="",0,R141))</f>
        <v/>
      </c>
      <c r="AK141" s="18">
        <f>IF(C141="","",IF(OR(O141="",P141=""),"Open",IF(ABS(AJ141)&lt;=BEThreshold,"BE",IF(AJ141&gt;0,"Win","Loss"))))</f>
        <v/>
      </c>
      <c r="AL141" s="28">
        <f>IF(OR(C141="",AK141="Open"),"",InitialCapital+SUMIFS($AJ$2:AJ141,$AK$2:AK141,"&lt;&gt;Open"))</f>
        <v/>
      </c>
      <c r="AM141" s="18">
        <f>IF(OR(C141="",AK141=""),"",IF(AK141="Open","No","Yes"))</f>
        <v/>
      </c>
    </row>
    <row r="142" ht="18" customHeight="1">
      <c r="A142" s="18">
        <f>IF(C142="","",COUNTA($C$2:C142))</f>
        <v/>
      </c>
      <c r="B142" s="18">
        <f>IF(C142="","",TEXT(C142,"dddd"))</f>
        <v/>
      </c>
      <c r="C142" s="19" t="n"/>
      <c r="D142" s="20" t="n"/>
      <c r="E142" s="21" t="n"/>
      <c r="F142" s="21" t="n"/>
      <c r="G142" s="21" t="n"/>
      <c r="H142" s="22" t="n"/>
      <c r="I142" s="23" t="n"/>
      <c r="J142" s="22" t="n"/>
      <c r="K142" s="24" t="n"/>
      <c r="L142" s="24" t="n"/>
      <c r="M142" s="24" t="n"/>
      <c r="N142" s="21" t="n"/>
      <c r="O142" s="24" t="n"/>
      <c r="P142" s="19" t="n"/>
      <c r="Q142" s="20" t="n"/>
      <c r="R142" s="23" t="n"/>
      <c r="S142" s="23" t="n"/>
      <c r="T142" s="21" t="n"/>
      <c r="U142" s="21" t="n"/>
      <c r="V142" s="21" t="n"/>
      <c r="W142" s="21" t="n"/>
      <c r="X142" s="21" t="n"/>
      <c r="Y142" s="25">
        <f>IF($C142="","",IF(E142="XAUUSD",0.1,IF(ISNUMBER(SEARCH("JPY",E142)),0.01,0.0001)))</f>
        <v/>
      </c>
      <c r="Z142" s="18">
        <f>IF($C142="","",IF(F142="Sell",-1,1))</f>
        <v/>
      </c>
      <c r="AA142" s="18">
        <f>IF($C142="","",IF(E142="XAUUSD",100,100000))</f>
        <v/>
      </c>
      <c r="AB142" s="26">
        <f>IF(OR(K142="",L142=""),"",ABS(K142-L142)/Y142)</f>
        <v/>
      </c>
      <c r="AC142" s="26">
        <f>IF(OR(K142="",M142=""),"",ABS(M142-K142)/Y142)</f>
        <v/>
      </c>
      <c r="AD142" s="26">
        <f>IF(OR(K142="",O142=""),"",(O142-K142)*Z142/Y142)</f>
        <v/>
      </c>
      <c r="AE142" s="27">
        <f>IF(OR(AB142="",AB142=0,AC142=""),"",AC142/AB142)</f>
        <v/>
      </c>
      <c r="AF142" s="27">
        <f>IF(OR(AB142="",AB142=0,AD142=""),"",AD142/AB142)</f>
        <v/>
      </c>
      <c r="AG142" s="27">
        <f>IF(OR(C142="",P142=""),"",((P142+IF(Q142="",0,Q142))-(C142+IF(D142="",0,D142)))*24)</f>
        <v/>
      </c>
      <c r="AH142" s="18">
        <f>IF(AG142="","",INT(AG142/24)&amp;"d "&amp;INT(MOD(AG142,24))&amp;"h "&amp;INT(MOD(AG142*60,60))&amp;"m")</f>
        <v/>
      </c>
      <c r="AI142" s="28">
        <f>IF(OR(O142="",K142="",H142=""),"",IF(OR(E142="XAUUSD",RIGHT(E142,3)="USD"),(O142-K142)*Z142*AA142*H142,IF(LEFT(E142,3)="USD",IF(O142=0,"",(O142-K142)*Z142*AA142*H142/O142),AD142*10*H142)))</f>
        <v/>
      </c>
      <c r="AJ142" s="28">
        <f>IF(O142="","",IF(S142="",IF(AI142="",0,AI142),S142)-IF(R142="",0,R142))</f>
        <v/>
      </c>
      <c r="AK142" s="18">
        <f>IF(C142="","",IF(OR(O142="",P142=""),"Open",IF(ABS(AJ142)&lt;=BEThreshold,"BE",IF(AJ142&gt;0,"Win","Loss"))))</f>
        <v/>
      </c>
      <c r="AL142" s="28">
        <f>IF(OR(C142="",AK142="Open"),"",InitialCapital+SUMIFS($AJ$2:AJ142,$AK$2:AK142,"&lt;&gt;Open"))</f>
        <v/>
      </c>
      <c r="AM142" s="18">
        <f>IF(OR(C142="",AK142=""),"",IF(AK142="Open","No","Yes"))</f>
        <v/>
      </c>
    </row>
    <row r="143" ht="18" customHeight="1">
      <c r="A143" s="18">
        <f>IF(C143="","",COUNTA($C$2:C143))</f>
        <v/>
      </c>
      <c r="B143" s="18">
        <f>IF(C143="","",TEXT(C143,"dddd"))</f>
        <v/>
      </c>
      <c r="C143" s="19" t="n"/>
      <c r="D143" s="20" t="n"/>
      <c r="E143" s="21" t="n"/>
      <c r="F143" s="21" t="n"/>
      <c r="G143" s="21" t="n"/>
      <c r="H143" s="22" t="n"/>
      <c r="I143" s="23" t="n"/>
      <c r="J143" s="22" t="n"/>
      <c r="K143" s="24" t="n"/>
      <c r="L143" s="24" t="n"/>
      <c r="M143" s="24" t="n"/>
      <c r="N143" s="21" t="n"/>
      <c r="O143" s="24" t="n"/>
      <c r="P143" s="19" t="n"/>
      <c r="Q143" s="20" t="n"/>
      <c r="R143" s="23" t="n"/>
      <c r="S143" s="23" t="n"/>
      <c r="T143" s="21" t="n"/>
      <c r="U143" s="21" t="n"/>
      <c r="V143" s="21" t="n"/>
      <c r="W143" s="21" t="n"/>
      <c r="X143" s="21" t="n"/>
      <c r="Y143" s="25">
        <f>IF($C143="","",IF(E143="XAUUSD",0.1,IF(ISNUMBER(SEARCH("JPY",E143)),0.01,0.0001)))</f>
        <v/>
      </c>
      <c r="Z143" s="18">
        <f>IF($C143="","",IF(F143="Sell",-1,1))</f>
        <v/>
      </c>
      <c r="AA143" s="18">
        <f>IF($C143="","",IF(E143="XAUUSD",100,100000))</f>
        <v/>
      </c>
      <c r="AB143" s="26">
        <f>IF(OR(K143="",L143=""),"",ABS(K143-L143)/Y143)</f>
        <v/>
      </c>
      <c r="AC143" s="26">
        <f>IF(OR(K143="",M143=""),"",ABS(M143-K143)/Y143)</f>
        <v/>
      </c>
      <c r="AD143" s="26">
        <f>IF(OR(K143="",O143=""),"",(O143-K143)*Z143/Y143)</f>
        <v/>
      </c>
      <c r="AE143" s="27">
        <f>IF(OR(AB143="",AB143=0,AC143=""),"",AC143/AB143)</f>
        <v/>
      </c>
      <c r="AF143" s="27">
        <f>IF(OR(AB143="",AB143=0,AD143=""),"",AD143/AB143)</f>
        <v/>
      </c>
      <c r="AG143" s="27">
        <f>IF(OR(C143="",P143=""),"",((P143+IF(Q143="",0,Q143))-(C143+IF(D143="",0,D143)))*24)</f>
        <v/>
      </c>
      <c r="AH143" s="18">
        <f>IF(AG143="","",INT(AG143/24)&amp;"d "&amp;INT(MOD(AG143,24))&amp;"h "&amp;INT(MOD(AG143*60,60))&amp;"m")</f>
        <v/>
      </c>
      <c r="AI143" s="28">
        <f>IF(OR(O143="",K143="",H143=""),"",IF(OR(E143="XAUUSD",RIGHT(E143,3)="USD"),(O143-K143)*Z143*AA143*H143,IF(LEFT(E143,3)="USD",IF(O143=0,"",(O143-K143)*Z143*AA143*H143/O143),AD143*10*H143)))</f>
        <v/>
      </c>
      <c r="AJ143" s="28">
        <f>IF(O143="","",IF(S143="",IF(AI143="",0,AI143),S143)-IF(R143="",0,R143))</f>
        <v/>
      </c>
      <c r="AK143" s="18">
        <f>IF(C143="","",IF(OR(O143="",P143=""),"Open",IF(ABS(AJ143)&lt;=BEThreshold,"BE",IF(AJ143&gt;0,"Win","Loss"))))</f>
        <v/>
      </c>
      <c r="AL143" s="28">
        <f>IF(OR(C143="",AK143="Open"),"",InitialCapital+SUMIFS($AJ$2:AJ143,$AK$2:AK143,"&lt;&gt;Open"))</f>
        <v/>
      </c>
      <c r="AM143" s="18">
        <f>IF(OR(C143="",AK143=""),"",IF(AK143="Open","No","Yes"))</f>
        <v/>
      </c>
    </row>
    <row r="144" ht="18" customHeight="1">
      <c r="A144" s="18">
        <f>IF(C144="","",COUNTA($C$2:C144))</f>
        <v/>
      </c>
      <c r="B144" s="18">
        <f>IF(C144="","",TEXT(C144,"dddd"))</f>
        <v/>
      </c>
      <c r="C144" s="19" t="n"/>
      <c r="D144" s="20" t="n"/>
      <c r="E144" s="21" t="n"/>
      <c r="F144" s="21" t="n"/>
      <c r="G144" s="21" t="n"/>
      <c r="H144" s="22" t="n"/>
      <c r="I144" s="23" t="n"/>
      <c r="J144" s="22" t="n"/>
      <c r="K144" s="24" t="n"/>
      <c r="L144" s="24" t="n"/>
      <c r="M144" s="24" t="n"/>
      <c r="N144" s="21" t="n"/>
      <c r="O144" s="24" t="n"/>
      <c r="P144" s="19" t="n"/>
      <c r="Q144" s="20" t="n"/>
      <c r="R144" s="23" t="n"/>
      <c r="S144" s="23" t="n"/>
      <c r="T144" s="21" t="n"/>
      <c r="U144" s="21" t="n"/>
      <c r="V144" s="21" t="n"/>
      <c r="W144" s="21" t="n"/>
      <c r="X144" s="21" t="n"/>
      <c r="Y144" s="25">
        <f>IF($C144="","",IF(E144="XAUUSD",0.1,IF(ISNUMBER(SEARCH("JPY",E144)),0.01,0.0001)))</f>
        <v/>
      </c>
      <c r="Z144" s="18">
        <f>IF($C144="","",IF(F144="Sell",-1,1))</f>
        <v/>
      </c>
      <c r="AA144" s="18">
        <f>IF($C144="","",IF(E144="XAUUSD",100,100000))</f>
        <v/>
      </c>
      <c r="AB144" s="26">
        <f>IF(OR(K144="",L144=""),"",ABS(K144-L144)/Y144)</f>
        <v/>
      </c>
      <c r="AC144" s="26">
        <f>IF(OR(K144="",M144=""),"",ABS(M144-K144)/Y144)</f>
        <v/>
      </c>
      <c r="AD144" s="26">
        <f>IF(OR(K144="",O144=""),"",(O144-K144)*Z144/Y144)</f>
        <v/>
      </c>
      <c r="AE144" s="27">
        <f>IF(OR(AB144="",AB144=0,AC144=""),"",AC144/AB144)</f>
        <v/>
      </c>
      <c r="AF144" s="27">
        <f>IF(OR(AB144="",AB144=0,AD144=""),"",AD144/AB144)</f>
        <v/>
      </c>
      <c r="AG144" s="27">
        <f>IF(OR(C144="",P144=""),"",((P144+IF(Q144="",0,Q144))-(C144+IF(D144="",0,D144)))*24)</f>
        <v/>
      </c>
      <c r="AH144" s="18">
        <f>IF(AG144="","",INT(AG144/24)&amp;"d "&amp;INT(MOD(AG144,24))&amp;"h "&amp;INT(MOD(AG144*60,60))&amp;"m")</f>
        <v/>
      </c>
      <c r="AI144" s="28">
        <f>IF(OR(O144="",K144="",H144=""),"",IF(OR(E144="XAUUSD",RIGHT(E144,3)="USD"),(O144-K144)*Z144*AA144*H144,IF(LEFT(E144,3)="USD",IF(O144=0,"",(O144-K144)*Z144*AA144*H144/O144),AD144*10*H144)))</f>
        <v/>
      </c>
      <c r="AJ144" s="28">
        <f>IF(O144="","",IF(S144="",IF(AI144="",0,AI144),S144)-IF(R144="",0,R144))</f>
        <v/>
      </c>
      <c r="AK144" s="18">
        <f>IF(C144="","",IF(OR(O144="",P144=""),"Open",IF(ABS(AJ144)&lt;=BEThreshold,"BE",IF(AJ144&gt;0,"Win","Loss"))))</f>
        <v/>
      </c>
      <c r="AL144" s="28">
        <f>IF(OR(C144="",AK144="Open"),"",InitialCapital+SUMIFS($AJ$2:AJ144,$AK$2:AK144,"&lt;&gt;Open"))</f>
        <v/>
      </c>
      <c r="AM144" s="18">
        <f>IF(OR(C144="",AK144=""),"",IF(AK144="Open","No","Yes"))</f>
        <v/>
      </c>
    </row>
    <row r="145" ht="18" customHeight="1">
      <c r="A145" s="18">
        <f>IF(C145="","",COUNTA($C$2:C145))</f>
        <v/>
      </c>
      <c r="B145" s="18">
        <f>IF(C145="","",TEXT(C145,"dddd"))</f>
        <v/>
      </c>
      <c r="C145" s="19" t="n"/>
      <c r="D145" s="20" t="n"/>
      <c r="E145" s="21" t="n"/>
      <c r="F145" s="21" t="n"/>
      <c r="G145" s="21" t="n"/>
      <c r="H145" s="22" t="n"/>
      <c r="I145" s="23" t="n"/>
      <c r="J145" s="22" t="n"/>
      <c r="K145" s="24" t="n"/>
      <c r="L145" s="24" t="n"/>
      <c r="M145" s="24" t="n"/>
      <c r="N145" s="21" t="n"/>
      <c r="O145" s="24" t="n"/>
      <c r="P145" s="19" t="n"/>
      <c r="Q145" s="20" t="n"/>
      <c r="R145" s="23" t="n"/>
      <c r="S145" s="23" t="n"/>
      <c r="T145" s="21" t="n"/>
      <c r="U145" s="21" t="n"/>
      <c r="V145" s="21" t="n"/>
      <c r="W145" s="21" t="n"/>
      <c r="X145" s="21" t="n"/>
      <c r="Y145" s="25">
        <f>IF($C145="","",IF(E145="XAUUSD",0.1,IF(ISNUMBER(SEARCH("JPY",E145)),0.01,0.0001)))</f>
        <v/>
      </c>
      <c r="Z145" s="18">
        <f>IF($C145="","",IF(F145="Sell",-1,1))</f>
        <v/>
      </c>
      <c r="AA145" s="18">
        <f>IF($C145="","",IF(E145="XAUUSD",100,100000))</f>
        <v/>
      </c>
      <c r="AB145" s="26">
        <f>IF(OR(K145="",L145=""),"",ABS(K145-L145)/Y145)</f>
        <v/>
      </c>
      <c r="AC145" s="26">
        <f>IF(OR(K145="",M145=""),"",ABS(M145-K145)/Y145)</f>
        <v/>
      </c>
      <c r="AD145" s="26">
        <f>IF(OR(K145="",O145=""),"",(O145-K145)*Z145/Y145)</f>
        <v/>
      </c>
      <c r="AE145" s="27">
        <f>IF(OR(AB145="",AB145=0,AC145=""),"",AC145/AB145)</f>
        <v/>
      </c>
      <c r="AF145" s="27">
        <f>IF(OR(AB145="",AB145=0,AD145=""),"",AD145/AB145)</f>
        <v/>
      </c>
      <c r="AG145" s="27">
        <f>IF(OR(C145="",P145=""),"",((P145+IF(Q145="",0,Q145))-(C145+IF(D145="",0,D145)))*24)</f>
        <v/>
      </c>
      <c r="AH145" s="18">
        <f>IF(AG145="","",INT(AG145/24)&amp;"d "&amp;INT(MOD(AG145,24))&amp;"h "&amp;INT(MOD(AG145*60,60))&amp;"m")</f>
        <v/>
      </c>
      <c r="AI145" s="28">
        <f>IF(OR(O145="",K145="",H145=""),"",IF(OR(E145="XAUUSD",RIGHT(E145,3)="USD"),(O145-K145)*Z145*AA145*H145,IF(LEFT(E145,3)="USD",IF(O145=0,"",(O145-K145)*Z145*AA145*H145/O145),AD145*10*H145)))</f>
        <v/>
      </c>
      <c r="AJ145" s="28">
        <f>IF(O145="","",IF(S145="",IF(AI145="",0,AI145),S145)-IF(R145="",0,R145))</f>
        <v/>
      </c>
      <c r="AK145" s="18">
        <f>IF(C145="","",IF(OR(O145="",P145=""),"Open",IF(ABS(AJ145)&lt;=BEThreshold,"BE",IF(AJ145&gt;0,"Win","Loss"))))</f>
        <v/>
      </c>
      <c r="AL145" s="28">
        <f>IF(OR(C145="",AK145="Open"),"",InitialCapital+SUMIFS($AJ$2:AJ145,$AK$2:AK145,"&lt;&gt;Open"))</f>
        <v/>
      </c>
      <c r="AM145" s="18">
        <f>IF(OR(C145="",AK145=""),"",IF(AK145="Open","No","Yes"))</f>
        <v/>
      </c>
    </row>
    <row r="146" ht="18" customHeight="1">
      <c r="A146" s="18">
        <f>IF(C146="","",COUNTA($C$2:C146))</f>
        <v/>
      </c>
      <c r="B146" s="18">
        <f>IF(C146="","",TEXT(C146,"dddd"))</f>
        <v/>
      </c>
      <c r="C146" s="19" t="n"/>
      <c r="D146" s="20" t="n"/>
      <c r="E146" s="21" t="n"/>
      <c r="F146" s="21" t="n"/>
      <c r="G146" s="21" t="n"/>
      <c r="H146" s="22" t="n"/>
      <c r="I146" s="23" t="n"/>
      <c r="J146" s="22" t="n"/>
      <c r="K146" s="24" t="n"/>
      <c r="L146" s="24" t="n"/>
      <c r="M146" s="24" t="n"/>
      <c r="N146" s="21" t="n"/>
      <c r="O146" s="24" t="n"/>
      <c r="P146" s="19" t="n"/>
      <c r="Q146" s="20" t="n"/>
      <c r="R146" s="23" t="n"/>
      <c r="S146" s="23" t="n"/>
      <c r="T146" s="21" t="n"/>
      <c r="U146" s="21" t="n"/>
      <c r="V146" s="21" t="n"/>
      <c r="W146" s="21" t="n"/>
      <c r="X146" s="21" t="n"/>
      <c r="Y146" s="25">
        <f>IF($C146="","",IF(E146="XAUUSD",0.1,IF(ISNUMBER(SEARCH("JPY",E146)),0.01,0.0001)))</f>
        <v/>
      </c>
      <c r="Z146" s="18">
        <f>IF($C146="","",IF(F146="Sell",-1,1))</f>
        <v/>
      </c>
      <c r="AA146" s="18">
        <f>IF($C146="","",IF(E146="XAUUSD",100,100000))</f>
        <v/>
      </c>
      <c r="AB146" s="26">
        <f>IF(OR(K146="",L146=""),"",ABS(K146-L146)/Y146)</f>
        <v/>
      </c>
      <c r="AC146" s="26">
        <f>IF(OR(K146="",M146=""),"",ABS(M146-K146)/Y146)</f>
        <v/>
      </c>
      <c r="AD146" s="26">
        <f>IF(OR(K146="",O146=""),"",(O146-K146)*Z146/Y146)</f>
        <v/>
      </c>
      <c r="AE146" s="27">
        <f>IF(OR(AB146="",AB146=0,AC146=""),"",AC146/AB146)</f>
        <v/>
      </c>
      <c r="AF146" s="27">
        <f>IF(OR(AB146="",AB146=0,AD146=""),"",AD146/AB146)</f>
        <v/>
      </c>
      <c r="AG146" s="27">
        <f>IF(OR(C146="",P146=""),"",((P146+IF(Q146="",0,Q146))-(C146+IF(D146="",0,D146)))*24)</f>
        <v/>
      </c>
      <c r="AH146" s="18">
        <f>IF(AG146="","",INT(AG146/24)&amp;"d "&amp;INT(MOD(AG146,24))&amp;"h "&amp;INT(MOD(AG146*60,60))&amp;"m")</f>
        <v/>
      </c>
      <c r="AI146" s="28">
        <f>IF(OR(O146="",K146="",H146=""),"",IF(OR(E146="XAUUSD",RIGHT(E146,3)="USD"),(O146-K146)*Z146*AA146*H146,IF(LEFT(E146,3)="USD",IF(O146=0,"",(O146-K146)*Z146*AA146*H146/O146),AD146*10*H146)))</f>
        <v/>
      </c>
      <c r="AJ146" s="28">
        <f>IF(O146="","",IF(S146="",IF(AI146="",0,AI146),S146)-IF(R146="",0,R146))</f>
        <v/>
      </c>
      <c r="AK146" s="18">
        <f>IF(C146="","",IF(OR(O146="",P146=""),"Open",IF(ABS(AJ146)&lt;=BEThreshold,"BE",IF(AJ146&gt;0,"Win","Loss"))))</f>
        <v/>
      </c>
      <c r="AL146" s="28">
        <f>IF(OR(C146="",AK146="Open"),"",InitialCapital+SUMIFS($AJ$2:AJ146,$AK$2:AK146,"&lt;&gt;Open"))</f>
        <v/>
      </c>
      <c r="AM146" s="18">
        <f>IF(OR(C146="",AK146=""),"",IF(AK146="Open","No","Yes"))</f>
        <v/>
      </c>
    </row>
    <row r="147" ht="18" customHeight="1">
      <c r="A147" s="18">
        <f>IF(C147="","",COUNTA($C$2:C147))</f>
        <v/>
      </c>
      <c r="B147" s="18">
        <f>IF(C147="","",TEXT(C147,"dddd"))</f>
        <v/>
      </c>
      <c r="C147" s="19" t="n"/>
      <c r="D147" s="20" t="n"/>
      <c r="E147" s="21" t="n"/>
      <c r="F147" s="21" t="n"/>
      <c r="G147" s="21" t="n"/>
      <c r="H147" s="22" t="n"/>
      <c r="I147" s="23" t="n"/>
      <c r="J147" s="22" t="n"/>
      <c r="K147" s="24" t="n"/>
      <c r="L147" s="24" t="n"/>
      <c r="M147" s="24" t="n"/>
      <c r="N147" s="21" t="n"/>
      <c r="O147" s="24" t="n"/>
      <c r="P147" s="19" t="n"/>
      <c r="Q147" s="20" t="n"/>
      <c r="R147" s="23" t="n"/>
      <c r="S147" s="23" t="n"/>
      <c r="T147" s="21" t="n"/>
      <c r="U147" s="21" t="n"/>
      <c r="V147" s="21" t="n"/>
      <c r="W147" s="21" t="n"/>
      <c r="X147" s="21" t="n"/>
      <c r="Y147" s="25">
        <f>IF($C147="","",IF(E147="XAUUSD",0.1,IF(ISNUMBER(SEARCH("JPY",E147)),0.01,0.0001)))</f>
        <v/>
      </c>
      <c r="Z147" s="18">
        <f>IF($C147="","",IF(F147="Sell",-1,1))</f>
        <v/>
      </c>
      <c r="AA147" s="18">
        <f>IF($C147="","",IF(E147="XAUUSD",100,100000))</f>
        <v/>
      </c>
      <c r="AB147" s="26">
        <f>IF(OR(K147="",L147=""),"",ABS(K147-L147)/Y147)</f>
        <v/>
      </c>
      <c r="AC147" s="26">
        <f>IF(OR(K147="",M147=""),"",ABS(M147-K147)/Y147)</f>
        <v/>
      </c>
      <c r="AD147" s="26">
        <f>IF(OR(K147="",O147=""),"",(O147-K147)*Z147/Y147)</f>
        <v/>
      </c>
      <c r="AE147" s="27">
        <f>IF(OR(AB147="",AB147=0,AC147=""),"",AC147/AB147)</f>
        <v/>
      </c>
      <c r="AF147" s="27">
        <f>IF(OR(AB147="",AB147=0,AD147=""),"",AD147/AB147)</f>
        <v/>
      </c>
      <c r="AG147" s="27">
        <f>IF(OR(C147="",P147=""),"",((P147+IF(Q147="",0,Q147))-(C147+IF(D147="",0,D147)))*24)</f>
        <v/>
      </c>
      <c r="AH147" s="18">
        <f>IF(AG147="","",INT(AG147/24)&amp;"d "&amp;INT(MOD(AG147,24))&amp;"h "&amp;INT(MOD(AG147*60,60))&amp;"m")</f>
        <v/>
      </c>
      <c r="AI147" s="28">
        <f>IF(OR(O147="",K147="",H147=""),"",IF(OR(E147="XAUUSD",RIGHT(E147,3)="USD"),(O147-K147)*Z147*AA147*H147,IF(LEFT(E147,3)="USD",IF(O147=0,"",(O147-K147)*Z147*AA147*H147/O147),AD147*10*H147)))</f>
        <v/>
      </c>
      <c r="AJ147" s="28">
        <f>IF(O147="","",IF(S147="",IF(AI147="",0,AI147),S147)-IF(R147="",0,R147))</f>
        <v/>
      </c>
      <c r="AK147" s="18">
        <f>IF(C147="","",IF(OR(O147="",P147=""),"Open",IF(ABS(AJ147)&lt;=BEThreshold,"BE",IF(AJ147&gt;0,"Win","Loss"))))</f>
        <v/>
      </c>
      <c r="AL147" s="28">
        <f>IF(OR(C147="",AK147="Open"),"",InitialCapital+SUMIFS($AJ$2:AJ147,$AK$2:AK147,"&lt;&gt;Open"))</f>
        <v/>
      </c>
      <c r="AM147" s="18">
        <f>IF(OR(C147="",AK147=""),"",IF(AK147="Open","No","Yes"))</f>
        <v/>
      </c>
    </row>
    <row r="148" ht="18" customHeight="1">
      <c r="A148" s="18">
        <f>IF(C148="","",COUNTA($C$2:C148))</f>
        <v/>
      </c>
      <c r="B148" s="18">
        <f>IF(C148="","",TEXT(C148,"dddd"))</f>
        <v/>
      </c>
      <c r="C148" s="19" t="n"/>
      <c r="D148" s="20" t="n"/>
      <c r="E148" s="21" t="n"/>
      <c r="F148" s="21" t="n"/>
      <c r="G148" s="21" t="n"/>
      <c r="H148" s="22" t="n"/>
      <c r="I148" s="23" t="n"/>
      <c r="J148" s="22" t="n"/>
      <c r="K148" s="24" t="n"/>
      <c r="L148" s="24" t="n"/>
      <c r="M148" s="24" t="n"/>
      <c r="N148" s="21" t="n"/>
      <c r="O148" s="24" t="n"/>
      <c r="P148" s="19" t="n"/>
      <c r="Q148" s="20" t="n"/>
      <c r="R148" s="23" t="n"/>
      <c r="S148" s="23" t="n"/>
      <c r="T148" s="21" t="n"/>
      <c r="U148" s="21" t="n"/>
      <c r="V148" s="21" t="n"/>
      <c r="W148" s="21" t="n"/>
      <c r="X148" s="21" t="n"/>
      <c r="Y148" s="25">
        <f>IF($C148="","",IF(E148="XAUUSD",0.1,IF(ISNUMBER(SEARCH("JPY",E148)),0.01,0.0001)))</f>
        <v/>
      </c>
      <c r="Z148" s="18">
        <f>IF($C148="","",IF(F148="Sell",-1,1))</f>
        <v/>
      </c>
      <c r="AA148" s="18">
        <f>IF($C148="","",IF(E148="XAUUSD",100,100000))</f>
        <v/>
      </c>
      <c r="AB148" s="26">
        <f>IF(OR(K148="",L148=""),"",ABS(K148-L148)/Y148)</f>
        <v/>
      </c>
      <c r="AC148" s="26">
        <f>IF(OR(K148="",M148=""),"",ABS(M148-K148)/Y148)</f>
        <v/>
      </c>
      <c r="AD148" s="26">
        <f>IF(OR(K148="",O148=""),"",(O148-K148)*Z148/Y148)</f>
        <v/>
      </c>
      <c r="AE148" s="27">
        <f>IF(OR(AB148="",AB148=0,AC148=""),"",AC148/AB148)</f>
        <v/>
      </c>
      <c r="AF148" s="27">
        <f>IF(OR(AB148="",AB148=0,AD148=""),"",AD148/AB148)</f>
        <v/>
      </c>
      <c r="AG148" s="27">
        <f>IF(OR(C148="",P148=""),"",((P148+IF(Q148="",0,Q148))-(C148+IF(D148="",0,D148)))*24)</f>
        <v/>
      </c>
      <c r="AH148" s="18">
        <f>IF(AG148="","",INT(AG148/24)&amp;"d "&amp;INT(MOD(AG148,24))&amp;"h "&amp;INT(MOD(AG148*60,60))&amp;"m")</f>
        <v/>
      </c>
      <c r="AI148" s="28">
        <f>IF(OR(O148="",K148="",H148=""),"",IF(OR(E148="XAUUSD",RIGHT(E148,3)="USD"),(O148-K148)*Z148*AA148*H148,IF(LEFT(E148,3)="USD",IF(O148=0,"",(O148-K148)*Z148*AA148*H148/O148),AD148*10*H148)))</f>
        <v/>
      </c>
      <c r="AJ148" s="28">
        <f>IF(O148="","",IF(S148="",IF(AI148="",0,AI148),S148)-IF(R148="",0,R148))</f>
        <v/>
      </c>
      <c r="AK148" s="18">
        <f>IF(C148="","",IF(OR(O148="",P148=""),"Open",IF(ABS(AJ148)&lt;=BEThreshold,"BE",IF(AJ148&gt;0,"Win","Loss"))))</f>
        <v/>
      </c>
      <c r="AL148" s="28">
        <f>IF(OR(C148="",AK148="Open"),"",InitialCapital+SUMIFS($AJ$2:AJ148,$AK$2:AK148,"&lt;&gt;Open"))</f>
        <v/>
      </c>
      <c r="AM148" s="18">
        <f>IF(OR(C148="",AK148=""),"",IF(AK148="Open","No","Yes"))</f>
        <v/>
      </c>
    </row>
    <row r="149" ht="18" customHeight="1">
      <c r="A149" s="18">
        <f>IF(C149="","",COUNTA($C$2:C149))</f>
        <v/>
      </c>
      <c r="B149" s="18">
        <f>IF(C149="","",TEXT(C149,"dddd"))</f>
        <v/>
      </c>
      <c r="C149" s="19" t="n"/>
      <c r="D149" s="20" t="n"/>
      <c r="E149" s="21" t="n"/>
      <c r="F149" s="21" t="n"/>
      <c r="G149" s="21" t="n"/>
      <c r="H149" s="22" t="n"/>
      <c r="I149" s="23" t="n"/>
      <c r="J149" s="22" t="n"/>
      <c r="K149" s="24" t="n"/>
      <c r="L149" s="24" t="n"/>
      <c r="M149" s="24" t="n"/>
      <c r="N149" s="21" t="n"/>
      <c r="O149" s="24" t="n"/>
      <c r="P149" s="19" t="n"/>
      <c r="Q149" s="20" t="n"/>
      <c r="R149" s="23" t="n"/>
      <c r="S149" s="23" t="n"/>
      <c r="T149" s="21" t="n"/>
      <c r="U149" s="21" t="n"/>
      <c r="V149" s="21" t="n"/>
      <c r="W149" s="21" t="n"/>
      <c r="X149" s="21" t="n"/>
      <c r="Y149" s="25">
        <f>IF($C149="","",IF(E149="XAUUSD",0.1,IF(ISNUMBER(SEARCH("JPY",E149)),0.01,0.0001)))</f>
        <v/>
      </c>
      <c r="Z149" s="18">
        <f>IF($C149="","",IF(F149="Sell",-1,1))</f>
        <v/>
      </c>
      <c r="AA149" s="18">
        <f>IF($C149="","",IF(E149="XAUUSD",100,100000))</f>
        <v/>
      </c>
      <c r="AB149" s="26">
        <f>IF(OR(K149="",L149=""),"",ABS(K149-L149)/Y149)</f>
        <v/>
      </c>
      <c r="AC149" s="26">
        <f>IF(OR(K149="",M149=""),"",ABS(M149-K149)/Y149)</f>
        <v/>
      </c>
      <c r="AD149" s="26">
        <f>IF(OR(K149="",O149=""),"",(O149-K149)*Z149/Y149)</f>
        <v/>
      </c>
      <c r="AE149" s="27">
        <f>IF(OR(AB149="",AB149=0,AC149=""),"",AC149/AB149)</f>
        <v/>
      </c>
      <c r="AF149" s="27">
        <f>IF(OR(AB149="",AB149=0,AD149=""),"",AD149/AB149)</f>
        <v/>
      </c>
      <c r="AG149" s="27">
        <f>IF(OR(C149="",P149=""),"",((P149+IF(Q149="",0,Q149))-(C149+IF(D149="",0,D149)))*24)</f>
        <v/>
      </c>
      <c r="AH149" s="18">
        <f>IF(AG149="","",INT(AG149/24)&amp;"d "&amp;INT(MOD(AG149,24))&amp;"h "&amp;INT(MOD(AG149*60,60))&amp;"m")</f>
        <v/>
      </c>
      <c r="AI149" s="28">
        <f>IF(OR(O149="",K149="",H149=""),"",IF(OR(E149="XAUUSD",RIGHT(E149,3)="USD"),(O149-K149)*Z149*AA149*H149,IF(LEFT(E149,3)="USD",IF(O149=0,"",(O149-K149)*Z149*AA149*H149/O149),AD149*10*H149)))</f>
        <v/>
      </c>
      <c r="AJ149" s="28">
        <f>IF(O149="","",IF(S149="",IF(AI149="",0,AI149),S149)-IF(R149="",0,R149))</f>
        <v/>
      </c>
      <c r="AK149" s="18">
        <f>IF(C149="","",IF(OR(O149="",P149=""),"Open",IF(ABS(AJ149)&lt;=BEThreshold,"BE",IF(AJ149&gt;0,"Win","Loss"))))</f>
        <v/>
      </c>
      <c r="AL149" s="28">
        <f>IF(OR(C149="",AK149="Open"),"",InitialCapital+SUMIFS($AJ$2:AJ149,$AK$2:AK149,"&lt;&gt;Open"))</f>
        <v/>
      </c>
      <c r="AM149" s="18">
        <f>IF(OR(C149="",AK149=""),"",IF(AK149="Open","No","Yes"))</f>
        <v/>
      </c>
    </row>
    <row r="150" ht="18" customHeight="1">
      <c r="A150" s="18">
        <f>IF(C150="","",COUNTA($C$2:C150))</f>
        <v/>
      </c>
      <c r="B150" s="18">
        <f>IF(C150="","",TEXT(C150,"dddd"))</f>
        <v/>
      </c>
      <c r="C150" s="19" t="n"/>
      <c r="D150" s="20" t="n"/>
      <c r="E150" s="21" t="n"/>
      <c r="F150" s="21" t="n"/>
      <c r="G150" s="21" t="n"/>
      <c r="H150" s="22" t="n"/>
      <c r="I150" s="23" t="n"/>
      <c r="J150" s="22" t="n"/>
      <c r="K150" s="24" t="n"/>
      <c r="L150" s="24" t="n"/>
      <c r="M150" s="24" t="n"/>
      <c r="N150" s="21" t="n"/>
      <c r="O150" s="24" t="n"/>
      <c r="P150" s="19" t="n"/>
      <c r="Q150" s="20" t="n"/>
      <c r="R150" s="23" t="n"/>
      <c r="S150" s="23" t="n"/>
      <c r="T150" s="21" t="n"/>
      <c r="U150" s="21" t="n"/>
      <c r="V150" s="21" t="n"/>
      <c r="W150" s="21" t="n"/>
      <c r="X150" s="21" t="n"/>
      <c r="Y150" s="25">
        <f>IF($C150="","",IF(E150="XAUUSD",0.1,IF(ISNUMBER(SEARCH("JPY",E150)),0.01,0.0001)))</f>
        <v/>
      </c>
      <c r="Z150" s="18">
        <f>IF($C150="","",IF(F150="Sell",-1,1))</f>
        <v/>
      </c>
      <c r="AA150" s="18">
        <f>IF($C150="","",IF(E150="XAUUSD",100,100000))</f>
        <v/>
      </c>
      <c r="AB150" s="26">
        <f>IF(OR(K150="",L150=""),"",ABS(K150-L150)/Y150)</f>
        <v/>
      </c>
      <c r="AC150" s="26">
        <f>IF(OR(K150="",M150=""),"",ABS(M150-K150)/Y150)</f>
        <v/>
      </c>
      <c r="AD150" s="26">
        <f>IF(OR(K150="",O150=""),"",(O150-K150)*Z150/Y150)</f>
        <v/>
      </c>
      <c r="AE150" s="27">
        <f>IF(OR(AB150="",AB150=0,AC150=""),"",AC150/AB150)</f>
        <v/>
      </c>
      <c r="AF150" s="27">
        <f>IF(OR(AB150="",AB150=0,AD150=""),"",AD150/AB150)</f>
        <v/>
      </c>
      <c r="AG150" s="27">
        <f>IF(OR(C150="",P150=""),"",((P150+IF(Q150="",0,Q150))-(C150+IF(D150="",0,D150)))*24)</f>
        <v/>
      </c>
      <c r="AH150" s="18">
        <f>IF(AG150="","",INT(AG150/24)&amp;"d "&amp;INT(MOD(AG150,24))&amp;"h "&amp;INT(MOD(AG150*60,60))&amp;"m")</f>
        <v/>
      </c>
      <c r="AI150" s="28">
        <f>IF(OR(O150="",K150="",H150=""),"",IF(OR(E150="XAUUSD",RIGHT(E150,3)="USD"),(O150-K150)*Z150*AA150*H150,IF(LEFT(E150,3)="USD",IF(O150=0,"",(O150-K150)*Z150*AA150*H150/O150),AD150*10*H150)))</f>
        <v/>
      </c>
      <c r="AJ150" s="28">
        <f>IF(O150="","",IF(S150="",IF(AI150="",0,AI150),S150)-IF(R150="",0,R150))</f>
        <v/>
      </c>
      <c r="AK150" s="18">
        <f>IF(C150="","",IF(OR(O150="",P150=""),"Open",IF(ABS(AJ150)&lt;=BEThreshold,"BE",IF(AJ150&gt;0,"Win","Loss"))))</f>
        <v/>
      </c>
      <c r="AL150" s="28">
        <f>IF(OR(C150="",AK150="Open"),"",InitialCapital+SUMIFS($AJ$2:AJ150,$AK$2:AK150,"&lt;&gt;Open"))</f>
        <v/>
      </c>
      <c r="AM150" s="18">
        <f>IF(OR(C150="",AK150=""),"",IF(AK150="Open","No","Yes"))</f>
        <v/>
      </c>
    </row>
    <row r="151" ht="18" customHeight="1">
      <c r="A151" s="18">
        <f>IF(C151="","",COUNTA($C$2:C151))</f>
        <v/>
      </c>
      <c r="B151" s="18">
        <f>IF(C151="","",TEXT(C151,"dddd"))</f>
        <v/>
      </c>
      <c r="C151" s="19" t="n"/>
      <c r="D151" s="20" t="n"/>
      <c r="E151" s="21" t="n"/>
      <c r="F151" s="21" t="n"/>
      <c r="G151" s="21" t="n"/>
      <c r="H151" s="22" t="n"/>
      <c r="I151" s="23" t="n"/>
      <c r="J151" s="22" t="n"/>
      <c r="K151" s="24" t="n"/>
      <c r="L151" s="24" t="n"/>
      <c r="M151" s="24" t="n"/>
      <c r="N151" s="21" t="n"/>
      <c r="O151" s="24" t="n"/>
      <c r="P151" s="19" t="n"/>
      <c r="Q151" s="20" t="n"/>
      <c r="R151" s="23" t="n"/>
      <c r="S151" s="23" t="n"/>
      <c r="T151" s="21" t="n"/>
      <c r="U151" s="21" t="n"/>
      <c r="V151" s="21" t="n"/>
      <c r="W151" s="21" t="n"/>
      <c r="X151" s="21" t="n"/>
      <c r="Y151" s="25">
        <f>IF($C151="","",IF(E151="XAUUSD",0.1,IF(ISNUMBER(SEARCH("JPY",E151)),0.01,0.0001)))</f>
        <v/>
      </c>
      <c r="Z151" s="18">
        <f>IF($C151="","",IF(F151="Sell",-1,1))</f>
        <v/>
      </c>
      <c r="AA151" s="18">
        <f>IF($C151="","",IF(E151="XAUUSD",100,100000))</f>
        <v/>
      </c>
      <c r="AB151" s="26">
        <f>IF(OR(K151="",L151=""),"",ABS(K151-L151)/Y151)</f>
        <v/>
      </c>
      <c r="AC151" s="26">
        <f>IF(OR(K151="",M151=""),"",ABS(M151-K151)/Y151)</f>
        <v/>
      </c>
      <c r="AD151" s="26">
        <f>IF(OR(K151="",O151=""),"",(O151-K151)*Z151/Y151)</f>
        <v/>
      </c>
      <c r="AE151" s="27">
        <f>IF(OR(AB151="",AB151=0,AC151=""),"",AC151/AB151)</f>
        <v/>
      </c>
      <c r="AF151" s="27">
        <f>IF(OR(AB151="",AB151=0,AD151=""),"",AD151/AB151)</f>
        <v/>
      </c>
      <c r="AG151" s="27">
        <f>IF(OR(C151="",P151=""),"",((P151+IF(Q151="",0,Q151))-(C151+IF(D151="",0,D151)))*24)</f>
        <v/>
      </c>
      <c r="AH151" s="18">
        <f>IF(AG151="","",INT(AG151/24)&amp;"d "&amp;INT(MOD(AG151,24))&amp;"h "&amp;INT(MOD(AG151*60,60))&amp;"m")</f>
        <v/>
      </c>
      <c r="AI151" s="28">
        <f>IF(OR(O151="",K151="",H151=""),"",IF(OR(E151="XAUUSD",RIGHT(E151,3)="USD"),(O151-K151)*Z151*AA151*H151,IF(LEFT(E151,3)="USD",IF(O151=0,"",(O151-K151)*Z151*AA151*H151/O151),AD151*10*H151)))</f>
        <v/>
      </c>
      <c r="AJ151" s="28">
        <f>IF(O151="","",IF(S151="",IF(AI151="",0,AI151),S151)-IF(R151="",0,R151))</f>
        <v/>
      </c>
      <c r="AK151" s="18">
        <f>IF(C151="","",IF(OR(O151="",P151=""),"Open",IF(ABS(AJ151)&lt;=BEThreshold,"BE",IF(AJ151&gt;0,"Win","Loss"))))</f>
        <v/>
      </c>
      <c r="AL151" s="28">
        <f>IF(OR(C151="",AK151="Open"),"",InitialCapital+SUMIFS($AJ$2:AJ151,$AK$2:AK151,"&lt;&gt;Open"))</f>
        <v/>
      </c>
      <c r="AM151" s="18">
        <f>IF(OR(C151="",AK151=""),"",IF(AK151="Open","No","Yes"))</f>
        <v/>
      </c>
    </row>
    <row r="152" ht="18" customHeight="1">
      <c r="A152" s="18">
        <f>IF(C152="","",COUNTA($C$2:C152))</f>
        <v/>
      </c>
      <c r="B152" s="18">
        <f>IF(C152="","",TEXT(C152,"dddd"))</f>
        <v/>
      </c>
      <c r="C152" s="19" t="n"/>
      <c r="D152" s="20" t="n"/>
      <c r="E152" s="21" t="n"/>
      <c r="F152" s="21" t="n"/>
      <c r="G152" s="21" t="n"/>
      <c r="H152" s="22" t="n"/>
      <c r="I152" s="23" t="n"/>
      <c r="J152" s="22" t="n"/>
      <c r="K152" s="24" t="n"/>
      <c r="L152" s="24" t="n"/>
      <c r="M152" s="24" t="n"/>
      <c r="N152" s="21" t="n"/>
      <c r="O152" s="24" t="n"/>
      <c r="P152" s="19" t="n"/>
      <c r="Q152" s="20" t="n"/>
      <c r="R152" s="23" t="n"/>
      <c r="S152" s="23" t="n"/>
      <c r="T152" s="21" t="n"/>
      <c r="U152" s="21" t="n"/>
      <c r="V152" s="21" t="n"/>
      <c r="W152" s="21" t="n"/>
      <c r="X152" s="21" t="n"/>
      <c r="Y152" s="25">
        <f>IF($C152="","",IF(E152="XAUUSD",0.1,IF(ISNUMBER(SEARCH("JPY",E152)),0.01,0.0001)))</f>
        <v/>
      </c>
      <c r="Z152" s="18">
        <f>IF($C152="","",IF(F152="Sell",-1,1))</f>
        <v/>
      </c>
      <c r="AA152" s="18">
        <f>IF($C152="","",IF(E152="XAUUSD",100,100000))</f>
        <v/>
      </c>
      <c r="AB152" s="26">
        <f>IF(OR(K152="",L152=""),"",ABS(K152-L152)/Y152)</f>
        <v/>
      </c>
      <c r="AC152" s="26">
        <f>IF(OR(K152="",M152=""),"",ABS(M152-K152)/Y152)</f>
        <v/>
      </c>
      <c r="AD152" s="26">
        <f>IF(OR(K152="",O152=""),"",(O152-K152)*Z152/Y152)</f>
        <v/>
      </c>
      <c r="AE152" s="27">
        <f>IF(OR(AB152="",AB152=0,AC152=""),"",AC152/AB152)</f>
        <v/>
      </c>
      <c r="AF152" s="27">
        <f>IF(OR(AB152="",AB152=0,AD152=""),"",AD152/AB152)</f>
        <v/>
      </c>
      <c r="AG152" s="27">
        <f>IF(OR(C152="",P152=""),"",((P152+IF(Q152="",0,Q152))-(C152+IF(D152="",0,D152)))*24)</f>
        <v/>
      </c>
      <c r="AH152" s="18">
        <f>IF(AG152="","",INT(AG152/24)&amp;"d "&amp;INT(MOD(AG152,24))&amp;"h "&amp;INT(MOD(AG152*60,60))&amp;"m")</f>
        <v/>
      </c>
      <c r="AI152" s="28">
        <f>IF(OR(O152="",K152="",H152=""),"",IF(OR(E152="XAUUSD",RIGHT(E152,3)="USD"),(O152-K152)*Z152*AA152*H152,IF(LEFT(E152,3)="USD",IF(O152=0,"",(O152-K152)*Z152*AA152*H152/O152),AD152*10*H152)))</f>
        <v/>
      </c>
      <c r="AJ152" s="28">
        <f>IF(O152="","",IF(S152="",IF(AI152="",0,AI152),S152)-IF(R152="",0,R152))</f>
        <v/>
      </c>
      <c r="AK152" s="18">
        <f>IF(C152="","",IF(OR(O152="",P152=""),"Open",IF(ABS(AJ152)&lt;=BEThreshold,"BE",IF(AJ152&gt;0,"Win","Loss"))))</f>
        <v/>
      </c>
      <c r="AL152" s="28">
        <f>IF(OR(C152="",AK152="Open"),"",InitialCapital+SUMIFS($AJ$2:AJ152,$AK$2:AK152,"&lt;&gt;Open"))</f>
        <v/>
      </c>
      <c r="AM152" s="18">
        <f>IF(OR(C152="",AK152=""),"",IF(AK152="Open","No","Yes"))</f>
        <v/>
      </c>
    </row>
    <row r="153" ht="18" customHeight="1">
      <c r="A153" s="18">
        <f>IF(C153="","",COUNTA($C$2:C153))</f>
        <v/>
      </c>
      <c r="B153" s="18">
        <f>IF(C153="","",TEXT(C153,"dddd"))</f>
        <v/>
      </c>
      <c r="C153" s="19" t="n"/>
      <c r="D153" s="20" t="n"/>
      <c r="E153" s="21" t="n"/>
      <c r="F153" s="21" t="n"/>
      <c r="G153" s="21" t="n"/>
      <c r="H153" s="22" t="n"/>
      <c r="I153" s="23" t="n"/>
      <c r="J153" s="22" t="n"/>
      <c r="K153" s="24" t="n"/>
      <c r="L153" s="24" t="n"/>
      <c r="M153" s="24" t="n"/>
      <c r="N153" s="21" t="n"/>
      <c r="O153" s="24" t="n"/>
      <c r="P153" s="19" t="n"/>
      <c r="Q153" s="20" t="n"/>
      <c r="R153" s="23" t="n"/>
      <c r="S153" s="23" t="n"/>
      <c r="T153" s="21" t="n"/>
      <c r="U153" s="21" t="n"/>
      <c r="V153" s="21" t="n"/>
      <c r="W153" s="21" t="n"/>
      <c r="X153" s="21" t="n"/>
      <c r="Y153" s="25">
        <f>IF($C153="","",IF(E153="XAUUSD",0.1,IF(ISNUMBER(SEARCH("JPY",E153)),0.01,0.0001)))</f>
        <v/>
      </c>
      <c r="Z153" s="18">
        <f>IF($C153="","",IF(F153="Sell",-1,1))</f>
        <v/>
      </c>
      <c r="AA153" s="18">
        <f>IF($C153="","",IF(E153="XAUUSD",100,100000))</f>
        <v/>
      </c>
      <c r="AB153" s="26">
        <f>IF(OR(K153="",L153=""),"",ABS(K153-L153)/Y153)</f>
        <v/>
      </c>
      <c r="AC153" s="26">
        <f>IF(OR(K153="",M153=""),"",ABS(M153-K153)/Y153)</f>
        <v/>
      </c>
      <c r="AD153" s="26">
        <f>IF(OR(K153="",O153=""),"",(O153-K153)*Z153/Y153)</f>
        <v/>
      </c>
      <c r="AE153" s="27">
        <f>IF(OR(AB153="",AB153=0,AC153=""),"",AC153/AB153)</f>
        <v/>
      </c>
      <c r="AF153" s="27">
        <f>IF(OR(AB153="",AB153=0,AD153=""),"",AD153/AB153)</f>
        <v/>
      </c>
      <c r="AG153" s="27">
        <f>IF(OR(C153="",P153=""),"",((P153+IF(Q153="",0,Q153))-(C153+IF(D153="",0,D153)))*24)</f>
        <v/>
      </c>
      <c r="AH153" s="18">
        <f>IF(AG153="","",INT(AG153/24)&amp;"d "&amp;INT(MOD(AG153,24))&amp;"h "&amp;INT(MOD(AG153*60,60))&amp;"m")</f>
        <v/>
      </c>
      <c r="AI153" s="28">
        <f>IF(OR(O153="",K153="",H153=""),"",IF(OR(E153="XAUUSD",RIGHT(E153,3)="USD"),(O153-K153)*Z153*AA153*H153,IF(LEFT(E153,3)="USD",IF(O153=0,"",(O153-K153)*Z153*AA153*H153/O153),AD153*10*H153)))</f>
        <v/>
      </c>
      <c r="AJ153" s="28">
        <f>IF(O153="","",IF(S153="",IF(AI153="",0,AI153),S153)-IF(R153="",0,R153))</f>
        <v/>
      </c>
      <c r="AK153" s="18">
        <f>IF(C153="","",IF(OR(O153="",P153=""),"Open",IF(ABS(AJ153)&lt;=BEThreshold,"BE",IF(AJ153&gt;0,"Win","Loss"))))</f>
        <v/>
      </c>
      <c r="AL153" s="28">
        <f>IF(OR(C153="",AK153="Open"),"",InitialCapital+SUMIFS($AJ$2:AJ153,$AK$2:AK153,"&lt;&gt;Open"))</f>
        <v/>
      </c>
      <c r="AM153" s="18">
        <f>IF(OR(C153="",AK153=""),"",IF(AK153="Open","No","Yes"))</f>
        <v/>
      </c>
    </row>
    <row r="154" ht="18" customHeight="1">
      <c r="A154" s="18">
        <f>IF(C154="","",COUNTA($C$2:C154))</f>
        <v/>
      </c>
      <c r="B154" s="18">
        <f>IF(C154="","",TEXT(C154,"dddd"))</f>
        <v/>
      </c>
      <c r="C154" s="19" t="n"/>
      <c r="D154" s="20" t="n"/>
      <c r="E154" s="21" t="n"/>
      <c r="F154" s="21" t="n"/>
      <c r="G154" s="21" t="n"/>
      <c r="H154" s="22" t="n"/>
      <c r="I154" s="23" t="n"/>
      <c r="J154" s="22" t="n"/>
      <c r="K154" s="24" t="n"/>
      <c r="L154" s="24" t="n"/>
      <c r="M154" s="24" t="n"/>
      <c r="N154" s="21" t="n"/>
      <c r="O154" s="24" t="n"/>
      <c r="P154" s="19" t="n"/>
      <c r="Q154" s="20" t="n"/>
      <c r="R154" s="23" t="n"/>
      <c r="S154" s="23" t="n"/>
      <c r="T154" s="21" t="n"/>
      <c r="U154" s="21" t="n"/>
      <c r="V154" s="21" t="n"/>
      <c r="W154" s="21" t="n"/>
      <c r="X154" s="21" t="n"/>
      <c r="Y154" s="25">
        <f>IF($C154="","",IF(E154="XAUUSD",0.1,IF(ISNUMBER(SEARCH("JPY",E154)),0.01,0.0001)))</f>
        <v/>
      </c>
      <c r="Z154" s="18">
        <f>IF($C154="","",IF(F154="Sell",-1,1))</f>
        <v/>
      </c>
      <c r="AA154" s="18">
        <f>IF($C154="","",IF(E154="XAUUSD",100,100000))</f>
        <v/>
      </c>
      <c r="AB154" s="26">
        <f>IF(OR(K154="",L154=""),"",ABS(K154-L154)/Y154)</f>
        <v/>
      </c>
      <c r="AC154" s="26">
        <f>IF(OR(K154="",M154=""),"",ABS(M154-K154)/Y154)</f>
        <v/>
      </c>
      <c r="AD154" s="26">
        <f>IF(OR(K154="",O154=""),"",(O154-K154)*Z154/Y154)</f>
        <v/>
      </c>
      <c r="AE154" s="27">
        <f>IF(OR(AB154="",AB154=0,AC154=""),"",AC154/AB154)</f>
        <v/>
      </c>
      <c r="AF154" s="27">
        <f>IF(OR(AB154="",AB154=0,AD154=""),"",AD154/AB154)</f>
        <v/>
      </c>
      <c r="AG154" s="27">
        <f>IF(OR(C154="",P154=""),"",((P154+IF(Q154="",0,Q154))-(C154+IF(D154="",0,D154)))*24)</f>
        <v/>
      </c>
      <c r="AH154" s="18">
        <f>IF(AG154="","",INT(AG154/24)&amp;"d "&amp;INT(MOD(AG154,24))&amp;"h "&amp;INT(MOD(AG154*60,60))&amp;"m")</f>
        <v/>
      </c>
      <c r="AI154" s="28">
        <f>IF(OR(O154="",K154="",H154=""),"",IF(OR(E154="XAUUSD",RIGHT(E154,3)="USD"),(O154-K154)*Z154*AA154*H154,IF(LEFT(E154,3)="USD",IF(O154=0,"",(O154-K154)*Z154*AA154*H154/O154),AD154*10*H154)))</f>
        <v/>
      </c>
      <c r="AJ154" s="28">
        <f>IF(O154="","",IF(S154="",IF(AI154="",0,AI154),S154)-IF(R154="",0,R154))</f>
        <v/>
      </c>
      <c r="AK154" s="18">
        <f>IF(C154="","",IF(OR(O154="",P154=""),"Open",IF(ABS(AJ154)&lt;=BEThreshold,"BE",IF(AJ154&gt;0,"Win","Loss"))))</f>
        <v/>
      </c>
      <c r="AL154" s="28">
        <f>IF(OR(C154="",AK154="Open"),"",InitialCapital+SUMIFS($AJ$2:AJ154,$AK$2:AK154,"&lt;&gt;Open"))</f>
        <v/>
      </c>
      <c r="AM154" s="18">
        <f>IF(OR(C154="",AK154=""),"",IF(AK154="Open","No","Yes"))</f>
        <v/>
      </c>
    </row>
    <row r="155" ht="18" customHeight="1">
      <c r="A155" s="18">
        <f>IF(C155="","",COUNTA($C$2:C155))</f>
        <v/>
      </c>
      <c r="B155" s="18">
        <f>IF(C155="","",TEXT(C155,"dddd"))</f>
        <v/>
      </c>
      <c r="C155" s="19" t="n"/>
      <c r="D155" s="20" t="n"/>
      <c r="E155" s="21" t="n"/>
      <c r="F155" s="21" t="n"/>
      <c r="G155" s="21" t="n"/>
      <c r="H155" s="22" t="n"/>
      <c r="I155" s="23" t="n"/>
      <c r="J155" s="22" t="n"/>
      <c r="K155" s="24" t="n"/>
      <c r="L155" s="24" t="n"/>
      <c r="M155" s="24" t="n"/>
      <c r="N155" s="21" t="n"/>
      <c r="O155" s="24" t="n"/>
      <c r="P155" s="19" t="n"/>
      <c r="Q155" s="20" t="n"/>
      <c r="R155" s="23" t="n"/>
      <c r="S155" s="23" t="n"/>
      <c r="T155" s="21" t="n"/>
      <c r="U155" s="21" t="n"/>
      <c r="V155" s="21" t="n"/>
      <c r="W155" s="21" t="n"/>
      <c r="X155" s="21" t="n"/>
      <c r="Y155" s="25">
        <f>IF($C155="","",IF(E155="XAUUSD",0.1,IF(ISNUMBER(SEARCH("JPY",E155)),0.01,0.0001)))</f>
        <v/>
      </c>
      <c r="Z155" s="18">
        <f>IF($C155="","",IF(F155="Sell",-1,1))</f>
        <v/>
      </c>
      <c r="AA155" s="18">
        <f>IF($C155="","",IF(E155="XAUUSD",100,100000))</f>
        <v/>
      </c>
      <c r="AB155" s="26">
        <f>IF(OR(K155="",L155=""),"",ABS(K155-L155)/Y155)</f>
        <v/>
      </c>
      <c r="AC155" s="26">
        <f>IF(OR(K155="",M155=""),"",ABS(M155-K155)/Y155)</f>
        <v/>
      </c>
      <c r="AD155" s="26">
        <f>IF(OR(K155="",O155=""),"",(O155-K155)*Z155/Y155)</f>
        <v/>
      </c>
      <c r="AE155" s="27">
        <f>IF(OR(AB155="",AB155=0,AC155=""),"",AC155/AB155)</f>
        <v/>
      </c>
      <c r="AF155" s="27">
        <f>IF(OR(AB155="",AB155=0,AD155=""),"",AD155/AB155)</f>
        <v/>
      </c>
      <c r="AG155" s="27">
        <f>IF(OR(C155="",P155=""),"",((P155+IF(Q155="",0,Q155))-(C155+IF(D155="",0,D155)))*24)</f>
        <v/>
      </c>
      <c r="AH155" s="18">
        <f>IF(AG155="","",INT(AG155/24)&amp;"d "&amp;INT(MOD(AG155,24))&amp;"h "&amp;INT(MOD(AG155*60,60))&amp;"m")</f>
        <v/>
      </c>
      <c r="AI155" s="28">
        <f>IF(OR(O155="",K155="",H155=""),"",IF(OR(E155="XAUUSD",RIGHT(E155,3)="USD"),(O155-K155)*Z155*AA155*H155,IF(LEFT(E155,3)="USD",IF(O155=0,"",(O155-K155)*Z155*AA155*H155/O155),AD155*10*H155)))</f>
        <v/>
      </c>
      <c r="AJ155" s="28">
        <f>IF(O155="","",IF(S155="",IF(AI155="",0,AI155),S155)-IF(R155="",0,R155))</f>
        <v/>
      </c>
      <c r="AK155" s="18">
        <f>IF(C155="","",IF(OR(O155="",P155=""),"Open",IF(ABS(AJ155)&lt;=BEThreshold,"BE",IF(AJ155&gt;0,"Win","Loss"))))</f>
        <v/>
      </c>
      <c r="AL155" s="28">
        <f>IF(OR(C155="",AK155="Open"),"",InitialCapital+SUMIFS($AJ$2:AJ155,$AK$2:AK155,"&lt;&gt;Open"))</f>
        <v/>
      </c>
      <c r="AM155" s="18">
        <f>IF(OR(C155="",AK155=""),"",IF(AK155="Open","No","Yes"))</f>
        <v/>
      </c>
    </row>
    <row r="156" ht="18" customHeight="1">
      <c r="A156" s="18">
        <f>IF(C156="","",COUNTA($C$2:C156))</f>
        <v/>
      </c>
      <c r="B156" s="18">
        <f>IF(C156="","",TEXT(C156,"dddd"))</f>
        <v/>
      </c>
      <c r="C156" s="19" t="n"/>
      <c r="D156" s="20" t="n"/>
      <c r="E156" s="21" t="n"/>
      <c r="F156" s="21" t="n"/>
      <c r="G156" s="21" t="n"/>
      <c r="H156" s="22" t="n"/>
      <c r="I156" s="23" t="n"/>
      <c r="J156" s="22" t="n"/>
      <c r="K156" s="24" t="n"/>
      <c r="L156" s="24" t="n"/>
      <c r="M156" s="24" t="n"/>
      <c r="N156" s="21" t="n"/>
      <c r="O156" s="24" t="n"/>
      <c r="P156" s="19" t="n"/>
      <c r="Q156" s="20" t="n"/>
      <c r="R156" s="23" t="n"/>
      <c r="S156" s="23" t="n"/>
      <c r="T156" s="21" t="n"/>
      <c r="U156" s="21" t="n"/>
      <c r="V156" s="21" t="n"/>
      <c r="W156" s="21" t="n"/>
      <c r="X156" s="21" t="n"/>
      <c r="Y156" s="25">
        <f>IF($C156="","",IF(E156="XAUUSD",0.1,IF(ISNUMBER(SEARCH("JPY",E156)),0.01,0.0001)))</f>
        <v/>
      </c>
      <c r="Z156" s="18">
        <f>IF($C156="","",IF(F156="Sell",-1,1))</f>
        <v/>
      </c>
      <c r="AA156" s="18">
        <f>IF($C156="","",IF(E156="XAUUSD",100,100000))</f>
        <v/>
      </c>
      <c r="AB156" s="26">
        <f>IF(OR(K156="",L156=""),"",ABS(K156-L156)/Y156)</f>
        <v/>
      </c>
      <c r="AC156" s="26">
        <f>IF(OR(K156="",M156=""),"",ABS(M156-K156)/Y156)</f>
        <v/>
      </c>
      <c r="AD156" s="26">
        <f>IF(OR(K156="",O156=""),"",(O156-K156)*Z156/Y156)</f>
        <v/>
      </c>
      <c r="AE156" s="27">
        <f>IF(OR(AB156="",AB156=0,AC156=""),"",AC156/AB156)</f>
        <v/>
      </c>
      <c r="AF156" s="27">
        <f>IF(OR(AB156="",AB156=0,AD156=""),"",AD156/AB156)</f>
        <v/>
      </c>
      <c r="AG156" s="27">
        <f>IF(OR(C156="",P156=""),"",((P156+IF(Q156="",0,Q156))-(C156+IF(D156="",0,D156)))*24)</f>
        <v/>
      </c>
      <c r="AH156" s="18">
        <f>IF(AG156="","",INT(AG156/24)&amp;"d "&amp;INT(MOD(AG156,24))&amp;"h "&amp;INT(MOD(AG156*60,60))&amp;"m")</f>
        <v/>
      </c>
      <c r="AI156" s="28">
        <f>IF(OR(O156="",K156="",H156=""),"",IF(OR(E156="XAUUSD",RIGHT(E156,3)="USD"),(O156-K156)*Z156*AA156*H156,IF(LEFT(E156,3)="USD",IF(O156=0,"",(O156-K156)*Z156*AA156*H156/O156),AD156*10*H156)))</f>
        <v/>
      </c>
      <c r="AJ156" s="28">
        <f>IF(O156="","",IF(S156="",IF(AI156="",0,AI156),S156)-IF(R156="",0,R156))</f>
        <v/>
      </c>
      <c r="AK156" s="18">
        <f>IF(C156="","",IF(OR(O156="",P156=""),"Open",IF(ABS(AJ156)&lt;=BEThreshold,"BE",IF(AJ156&gt;0,"Win","Loss"))))</f>
        <v/>
      </c>
      <c r="AL156" s="28">
        <f>IF(OR(C156="",AK156="Open"),"",InitialCapital+SUMIFS($AJ$2:AJ156,$AK$2:AK156,"&lt;&gt;Open"))</f>
        <v/>
      </c>
      <c r="AM156" s="18">
        <f>IF(OR(C156="",AK156=""),"",IF(AK156="Open","No","Yes"))</f>
        <v/>
      </c>
    </row>
    <row r="157" ht="18" customHeight="1">
      <c r="A157" s="18">
        <f>IF(C157="","",COUNTA($C$2:C157))</f>
        <v/>
      </c>
      <c r="B157" s="18">
        <f>IF(C157="","",TEXT(C157,"dddd"))</f>
        <v/>
      </c>
      <c r="C157" s="19" t="n"/>
      <c r="D157" s="20" t="n"/>
      <c r="E157" s="21" t="n"/>
      <c r="F157" s="21" t="n"/>
      <c r="G157" s="21" t="n"/>
      <c r="H157" s="22" t="n"/>
      <c r="I157" s="23" t="n"/>
      <c r="J157" s="22" t="n"/>
      <c r="K157" s="24" t="n"/>
      <c r="L157" s="24" t="n"/>
      <c r="M157" s="24" t="n"/>
      <c r="N157" s="21" t="n"/>
      <c r="O157" s="24" t="n"/>
      <c r="P157" s="19" t="n"/>
      <c r="Q157" s="20" t="n"/>
      <c r="R157" s="23" t="n"/>
      <c r="S157" s="23" t="n"/>
      <c r="T157" s="21" t="n"/>
      <c r="U157" s="21" t="n"/>
      <c r="V157" s="21" t="n"/>
      <c r="W157" s="21" t="n"/>
      <c r="X157" s="21" t="n"/>
      <c r="Y157" s="25">
        <f>IF($C157="","",IF(E157="XAUUSD",0.1,IF(ISNUMBER(SEARCH("JPY",E157)),0.01,0.0001)))</f>
        <v/>
      </c>
      <c r="Z157" s="18">
        <f>IF($C157="","",IF(F157="Sell",-1,1))</f>
        <v/>
      </c>
      <c r="AA157" s="18">
        <f>IF($C157="","",IF(E157="XAUUSD",100,100000))</f>
        <v/>
      </c>
      <c r="AB157" s="26">
        <f>IF(OR(K157="",L157=""),"",ABS(K157-L157)/Y157)</f>
        <v/>
      </c>
      <c r="AC157" s="26">
        <f>IF(OR(K157="",M157=""),"",ABS(M157-K157)/Y157)</f>
        <v/>
      </c>
      <c r="AD157" s="26">
        <f>IF(OR(K157="",O157=""),"",(O157-K157)*Z157/Y157)</f>
        <v/>
      </c>
      <c r="AE157" s="27">
        <f>IF(OR(AB157="",AB157=0,AC157=""),"",AC157/AB157)</f>
        <v/>
      </c>
      <c r="AF157" s="27">
        <f>IF(OR(AB157="",AB157=0,AD157=""),"",AD157/AB157)</f>
        <v/>
      </c>
      <c r="AG157" s="27">
        <f>IF(OR(C157="",P157=""),"",((P157+IF(Q157="",0,Q157))-(C157+IF(D157="",0,D157)))*24)</f>
        <v/>
      </c>
      <c r="AH157" s="18">
        <f>IF(AG157="","",INT(AG157/24)&amp;"d "&amp;INT(MOD(AG157,24))&amp;"h "&amp;INT(MOD(AG157*60,60))&amp;"m")</f>
        <v/>
      </c>
      <c r="AI157" s="28">
        <f>IF(OR(O157="",K157="",H157=""),"",IF(OR(E157="XAUUSD",RIGHT(E157,3)="USD"),(O157-K157)*Z157*AA157*H157,IF(LEFT(E157,3)="USD",IF(O157=0,"",(O157-K157)*Z157*AA157*H157/O157),AD157*10*H157)))</f>
        <v/>
      </c>
      <c r="AJ157" s="28">
        <f>IF(O157="","",IF(S157="",IF(AI157="",0,AI157),S157)-IF(R157="",0,R157))</f>
        <v/>
      </c>
      <c r="AK157" s="18">
        <f>IF(C157="","",IF(OR(O157="",P157=""),"Open",IF(ABS(AJ157)&lt;=BEThreshold,"BE",IF(AJ157&gt;0,"Win","Loss"))))</f>
        <v/>
      </c>
      <c r="AL157" s="28">
        <f>IF(OR(C157="",AK157="Open"),"",InitialCapital+SUMIFS($AJ$2:AJ157,$AK$2:AK157,"&lt;&gt;Open"))</f>
        <v/>
      </c>
      <c r="AM157" s="18">
        <f>IF(OR(C157="",AK157=""),"",IF(AK157="Open","No","Yes"))</f>
        <v/>
      </c>
    </row>
    <row r="158" ht="18" customHeight="1">
      <c r="A158" s="18">
        <f>IF(C158="","",COUNTA($C$2:C158))</f>
        <v/>
      </c>
      <c r="B158" s="18">
        <f>IF(C158="","",TEXT(C158,"dddd"))</f>
        <v/>
      </c>
      <c r="C158" s="19" t="n"/>
      <c r="D158" s="20" t="n"/>
      <c r="E158" s="21" t="n"/>
      <c r="F158" s="21" t="n"/>
      <c r="G158" s="21" t="n"/>
      <c r="H158" s="22" t="n"/>
      <c r="I158" s="23" t="n"/>
      <c r="J158" s="22" t="n"/>
      <c r="K158" s="24" t="n"/>
      <c r="L158" s="24" t="n"/>
      <c r="M158" s="24" t="n"/>
      <c r="N158" s="21" t="n"/>
      <c r="O158" s="24" t="n"/>
      <c r="P158" s="19" t="n"/>
      <c r="Q158" s="20" t="n"/>
      <c r="R158" s="23" t="n"/>
      <c r="S158" s="23" t="n"/>
      <c r="T158" s="21" t="n"/>
      <c r="U158" s="21" t="n"/>
      <c r="V158" s="21" t="n"/>
      <c r="W158" s="21" t="n"/>
      <c r="X158" s="21" t="n"/>
      <c r="Y158" s="25">
        <f>IF($C158="","",IF(E158="XAUUSD",0.1,IF(ISNUMBER(SEARCH("JPY",E158)),0.01,0.0001)))</f>
        <v/>
      </c>
      <c r="Z158" s="18">
        <f>IF($C158="","",IF(F158="Sell",-1,1))</f>
        <v/>
      </c>
      <c r="AA158" s="18">
        <f>IF($C158="","",IF(E158="XAUUSD",100,100000))</f>
        <v/>
      </c>
      <c r="AB158" s="26">
        <f>IF(OR(K158="",L158=""),"",ABS(K158-L158)/Y158)</f>
        <v/>
      </c>
      <c r="AC158" s="26">
        <f>IF(OR(K158="",M158=""),"",ABS(M158-K158)/Y158)</f>
        <v/>
      </c>
      <c r="AD158" s="26">
        <f>IF(OR(K158="",O158=""),"",(O158-K158)*Z158/Y158)</f>
        <v/>
      </c>
      <c r="AE158" s="27">
        <f>IF(OR(AB158="",AB158=0,AC158=""),"",AC158/AB158)</f>
        <v/>
      </c>
      <c r="AF158" s="27">
        <f>IF(OR(AB158="",AB158=0,AD158=""),"",AD158/AB158)</f>
        <v/>
      </c>
      <c r="AG158" s="27">
        <f>IF(OR(C158="",P158=""),"",((P158+IF(Q158="",0,Q158))-(C158+IF(D158="",0,D158)))*24)</f>
        <v/>
      </c>
      <c r="AH158" s="18">
        <f>IF(AG158="","",INT(AG158/24)&amp;"d "&amp;INT(MOD(AG158,24))&amp;"h "&amp;INT(MOD(AG158*60,60))&amp;"m")</f>
        <v/>
      </c>
      <c r="AI158" s="28">
        <f>IF(OR(O158="",K158="",H158=""),"",IF(OR(E158="XAUUSD",RIGHT(E158,3)="USD"),(O158-K158)*Z158*AA158*H158,IF(LEFT(E158,3)="USD",IF(O158=0,"",(O158-K158)*Z158*AA158*H158/O158),AD158*10*H158)))</f>
        <v/>
      </c>
      <c r="AJ158" s="28">
        <f>IF(O158="","",IF(S158="",IF(AI158="",0,AI158),S158)-IF(R158="",0,R158))</f>
        <v/>
      </c>
      <c r="AK158" s="18">
        <f>IF(C158="","",IF(OR(O158="",P158=""),"Open",IF(ABS(AJ158)&lt;=BEThreshold,"BE",IF(AJ158&gt;0,"Win","Loss"))))</f>
        <v/>
      </c>
      <c r="AL158" s="28">
        <f>IF(OR(C158="",AK158="Open"),"",InitialCapital+SUMIFS($AJ$2:AJ158,$AK$2:AK158,"&lt;&gt;Open"))</f>
        <v/>
      </c>
      <c r="AM158" s="18">
        <f>IF(OR(C158="",AK158=""),"",IF(AK158="Open","No","Yes"))</f>
        <v/>
      </c>
    </row>
    <row r="159" ht="18" customHeight="1">
      <c r="A159" s="18">
        <f>IF(C159="","",COUNTA($C$2:C159))</f>
        <v/>
      </c>
      <c r="B159" s="18">
        <f>IF(C159="","",TEXT(C159,"dddd"))</f>
        <v/>
      </c>
      <c r="C159" s="19" t="n"/>
      <c r="D159" s="20" t="n"/>
      <c r="E159" s="21" t="n"/>
      <c r="F159" s="21" t="n"/>
      <c r="G159" s="21" t="n"/>
      <c r="H159" s="22" t="n"/>
      <c r="I159" s="23" t="n"/>
      <c r="J159" s="22" t="n"/>
      <c r="K159" s="24" t="n"/>
      <c r="L159" s="24" t="n"/>
      <c r="M159" s="24" t="n"/>
      <c r="N159" s="21" t="n"/>
      <c r="O159" s="24" t="n"/>
      <c r="P159" s="19" t="n"/>
      <c r="Q159" s="20" t="n"/>
      <c r="R159" s="23" t="n"/>
      <c r="S159" s="23" t="n"/>
      <c r="T159" s="21" t="n"/>
      <c r="U159" s="21" t="n"/>
      <c r="V159" s="21" t="n"/>
      <c r="W159" s="21" t="n"/>
      <c r="X159" s="21" t="n"/>
      <c r="Y159" s="25">
        <f>IF($C159="","",IF(E159="XAUUSD",0.1,IF(ISNUMBER(SEARCH("JPY",E159)),0.01,0.0001)))</f>
        <v/>
      </c>
      <c r="Z159" s="18">
        <f>IF($C159="","",IF(F159="Sell",-1,1))</f>
        <v/>
      </c>
      <c r="AA159" s="18">
        <f>IF($C159="","",IF(E159="XAUUSD",100,100000))</f>
        <v/>
      </c>
      <c r="AB159" s="26">
        <f>IF(OR(K159="",L159=""),"",ABS(K159-L159)/Y159)</f>
        <v/>
      </c>
      <c r="AC159" s="26">
        <f>IF(OR(K159="",M159=""),"",ABS(M159-K159)/Y159)</f>
        <v/>
      </c>
      <c r="AD159" s="26">
        <f>IF(OR(K159="",O159=""),"",(O159-K159)*Z159/Y159)</f>
        <v/>
      </c>
      <c r="AE159" s="27">
        <f>IF(OR(AB159="",AB159=0,AC159=""),"",AC159/AB159)</f>
        <v/>
      </c>
      <c r="AF159" s="27">
        <f>IF(OR(AB159="",AB159=0,AD159=""),"",AD159/AB159)</f>
        <v/>
      </c>
      <c r="AG159" s="27">
        <f>IF(OR(C159="",P159=""),"",((P159+IF(Q159="",0,Q159))-(C159+IF(D159="",0,D159)))*24)</f>
        <v/>
      </c>
      <c r="AH159" s="18">
        <f>IF(AG159="","",INT(AG159/24)&amp;"d "&amp;INT(MOD(AG159,24))&amp;"h "&amp;INT(MOD(AG159*60,60))&amp;"m")</f>
        <v/>
      </c>
      <c r="AI159" s="28">
        <f>IF(OR(O159="",K159="",H159=""),"",IF(OR(E159="XAUUSD",RIGHT(E159,3)="USD"),(O159-K159)*Z159*AA159*H159,IF(LEFT(E159,3)="USD",IF(O159=0,"",(O159-K159)*Z159*AA159*H159/O159),AD159*10*H159)))</f>
        <v/>
      </c>
      <c r="AJ159" s="28">
        <f>IF(O159="","",IF(S159="",IF(AI159="",0,AI159),S159)-IF(R159="",0,R159))</f>
        <v/>
      </c>
      <c r="AK159" s="18">
        <f>IF(C159="","",IF(OR(O159="",P159=""),"Open",IF(ABS(AJ159)&lt;=BEThreshold,"BE",IF(AJ159&gt;0,"Win","Loss"))))</f>
        <v/>
      </c>
      <c r="AL159" s="28">
        <f>IF(OR(C159="",AK159="Open"),"",InitialCapital+SUMIFS($AJ$2:AJ159,$AK$2:AK159,"&lt;&gt;Open"))</f>
        <v/>
      </c>
      <c r="AM159" s="18">
        <f>IF(OR(C159="",AK159=""),"",IF(AK159="Open","No","Yes"))</f>
        <v/>
      </c>
    </row>
    <row r="160" ht="18" customHeight="1">
      <c r="A160" s="18">
        <f>IF(C160="","",COUNTA($C$2:C160))</f>
        <v/>
      </c>
      <c r="B160" s="18">
        <f>IF(C160="","",TEXT(C160,"dddd"))</f>
        <v/>
      </c>
      <c r="C160" s="19" t="n"/>
      <c r="D160" s="20" t="n"/>
      <c r="E160" s="21" t="n"/>
      <c r="F160" s="21" t="n"/>
      <c r="G160" s="21" t="n"/>
      <c r="H160" s="22" t="n"/>
      <c r="I160" s="23" t="n"/>
      <c r="J160" s="22" t="n"/>
      <c r="K160" s="24" t="n"/>
      <c r="L160" s="24" t="n"/>
      <c r="M160" s="24" t="n"/>
      <c r="N160" s="21" t="n"/>
      <c r="O160" s="24" t="n"/>
      <c r="P160" s="19" t="n"/>
      <c r="Q160" s="20" t="n"/>
      <c r="R160" s="23" t="n"/>
      <c r="S160" s="23" t="n"/>
      <c r="T160" s="21" t="n"/>
      <c r="U160" s="21" t="n"/>
      <c r="V160" s="21" t="n"/>
      <c r="W160" s="21" t="n"/>
      <c r="X160" s="21" t="n"/>
      <c r="Y160" s="25">
        <f>IF($C160="","",IF(E160="XAUUSD",0.1,IF(ISNUMBER(SEARCH("JPY",E160)),0.01,0.0001)))</f>
        <v/>
      </c>
      <c r="Z160" s="18">
        <f>IF($C160="","",IF(F160="Sell",-1,1))</f>
        <v/>
      </c>
      <c r="AA160" s="18">
        <f>IF($C160="","",IF(E160="XAUUSD",100,100000))</f>
        <v/>
      </c>
      <c r="AB160" s="26">
        <f>IF(OR(K160="",L160=""),"",ABS(K160-L160)/Y160)</f>
        <v/>
      </c>
      <c r="AC160" s="26">
        <f>IF(OR(K160="",M160=""),"",ABS(M160-K160)/Y160)</f>
        <v/>
      </c>
      <c r="AD160" s="26">
        <f>IF(OR(K160="",O160=""),"",(O160-K160)*Z160/Y160)</f>
        <v/>
      </c>
      <c r="AE160" s="27">
        <f>IF(OR(AB160="",AB160=0,AC160=""),"",AC160/AB160)</f>
        <v/>
      </c>
      <c r="AF160" s="27">
        <f>IF(OR(AB160="",AB160=0,AD160=""),"",AD160/AB160)</f>
        <v/>
      </c>
      <c r="AG160" s="27">
        <f>IF(OR(C160="",P160=""),"",((P160+IF(Q160="",0,Q160))-(C160+IF(D160="",0,D160)))*24)</f>
        <v/>
      </c>
      <c r="AH160" s="18">
        <f>IF(AG160="","",INT(AG160/24)&amp;"d "&amp;INT(MOD(AG160,24))&amp;"h "&amp;INT(MOD(AG160*60,60))&amp;"m")</f>
        <v/>
      </c>
      <c r="AI160" s="28">
        <f>IF(OR(O160="",K160="",H160=""),"",IF(OR(E160="XAUUSD",RIGHT(E160,3)="USD"),(O160-K160)*Z160*AA160*H160,IF(LEFT(E160,3)="USD",IF(O160=0,"",(O160-K160)*Z160*AA160*H160/O160),AD160*10*H160)))</f>
        <v/>
      </c>
      <c r="AJ160" s="28">
        <f>IF(O160="","",IF(S160="",IF(AI160="",0,AI160),S160)-IF(R160="",0,R160))</f>
        <v/>
      </c>
      <c r="AK160" s="18">
        <f>IF(C160="","",IF(OR(O160="",P160=""),"Open",IF(ABS(AJ160)&lt;=BEThreshold,"BE",IF(AJ160&gt;0,"Win","Loss"))))</f>
        <v/>
      </c>
      <c r="AL160" s="28">
        <f>IF(OR(C160="",AK160="Open"),"",InitialCapital+SUMIFS($AJ$2:AJ160,$AK$2:AK160,"&lt;&gt;Open"))</f>
        <v/>
      </c>
      <c r="AM160" s="18">
        <f>IF(OR(C160="",AK160=""),"",IF(AK160="Open","No","Yes"))</f>
        <v/>
      </c>
    </row>
    <row r="161" ht="18" customHeight="1">
      <c r="A161" s="18">
        <f>IF(C161="","",COUNTA($C$2:C161))</f>
        <v/>
      </c>
      <c r="B161" s="18">
        <f>IF(C161="","",TEXT(C161,"dddd"))</f>
        <v/>
      </c>
      <c r="C161" s="19" t="n"/>
      <c r="D161" s="20" t="n"/>
      <c r="E161" s="21" t="n"/>
      <c r="F161" s="21" t="n"/>
      <c r="G161" s="21" t="n"/>
      <c r="H161" s="22" t="n"/>
      <c r="I161" s="23" t="n"/>
      <c r="J161" s="22" t="n"/>
      <c r="K161" s="24" t="n"/>
      <c r="L161" s="24" t="n"/>
      <c r="M161" s="24" t="n"/>
      <c r="N161" s="21" t="n"/>
      <c r="O161" s="24" t="n"/>
      <c r="P161" s="19" t="n"/>
      <c r="Q161" s="20" t="n"/>
      <c r="R161" s="23" t="n"/>
      <c r="S161" s="23" t="n"/>
      <c r="T161" s="21" t="n"/>
      <c r="U161" s="21" t="n"/>
      <c r="V161" s="21" t="n"/>
      <c r="W161" s="21" t="n"/>
      <c r="X161" s="21" t="n"/>
      <c r="Y161" s="25">
        <f>IF($C161="","",IF(E161="XAUUSD",0.1,IF(ISNUMBER(SEARCH("JPY",E161)),0.01,0.0001)))</f>
        <v/>
      </c>
      <c r="Z161" s="18">
        <f>IF($C161="","",IF(F161="Sell",-1,1))</f>
        <v/>
      </c>
      <c r="AA161" s="18">
        <f>IF($C161="","",IF(E161="XAUUSD",100,100000))</f>
        <v/>
      </c>
      <c r="AB161" s="26">
        <f>IF(OR(K161="",L161=""),"",ABS(K161-L161)/Y161)</f>
        <v/>
      </c>
      <c r="AC161" s="26">
        <f>IF(OR(K161="",M161=""),"",ABS(M161-K161)/Y161)</f>
        <v/>
      </c>
      <c r="AD161" s="26">
        <f>IF(OR(K161="",O161=""),"",(O161-K161)*Z161/Y161)</f>
        <v/>
      </c>
      <c r="AE161" s="27">
        <f>IF(OR(AB161="",AB161=0,AC161=""),"",AC161/AB161)</f>
        <v/>
      </c>
      <c r="AF161" s="27">
        <f>IF(OR(AB161="",AB161=0,AD161=""),"",AD161/AB161)</f>
        <v/>
      </c>
      <c r="AG161" s="27">
        <f>IF(OR(C161="",P161=""),"",((P161+IF(Q161="",0,Q161))-(C161+IF(D161="",0,D161)))*24)</f>
        <v/>
      </c>
      <c r="AH161" s="18">
        <f>IF(AG161="","",INT(AG161/24)&amp;"d "&amp;INT(MOD(AG161,24))&amp;"h "&amp;INT(MOD(AG161*60,60))&amp;"m")</f>
        <v/>
      </c>
      <c r="AI161" s="28">
        <f>IF(OR(O161="",K161="",H161=""),"",IF(OR(E161="XAUUSD",RIGHT(E161,3)="USD"),(O161-K161)*Z161*AA161*H161,IF(LEFT(E161,3)="USD",IF(O161=0,"",(O161-K161)*Z161*AA161*H161/O161),AD161*10*H161)))</f>
        <v/>
      </c>
      <c r="AJ161" s="28">
        <f>IF(O161="","",IF(S161="",IF(AI161="",0,AI161),S161)-IF(R161="",0,R161))</f>
        <v/>
      </c>
      <c r="AK161" s="18">
        <f>IF(C161="","",IF(OR(O161="",P161=""),"Open",IF(ABS(AJ161)&lt;=BEThreshold,"BE",IF(AJ161&gt;0,"Win","Loss"))))</f>
        <v/>
      </c>
      <c r="AL161" s="28">
        <f>IF(OR(C161="",AK161="Open"),"",InitialCapital+SUMIFS($AJ$2:AJ161,$AK$2:AK161,"&lt;&gt;Open"))</f>
        <v/>
      </c>
      <c r="AM161" s="18">
        <f>IF(OR(C161="",AK161=""),"",IF(AK161="Open","No","Yes"))</f>
        <v/>
      </c>
    </row>
    <row r="162" ht="18" customHeight="1">
      <c r="A162" s="18">
        <f>IF(C162="","",COUNTA($C$2:C162))</f>
        <v/>
      </c>
      <c r="B162" s="18">
        <f>IF(C162="","",TEXT(C162,"dddd"))</f>
        <v/>
      </c>
      <c r="C162" s="19" t="n"/>
      <c r="D162" s="20" t="n"/>
      <c r="E162" s="21" t="n"/>
      <c r="F162" s="21" t="n"/>
      <c r="G162" s="21" t="n"/>
      <c r="H162" s="22" t="n"/>
      <c r="I162" s="23" t="n"/>
      <c r="J162" s="22" t="n"/>
      <c r="K162" s="24" t="n"/>
      <c r="L162" s="24" t="n"/>
      <c r="M162" s="24" t="n"/>
      <c r="N162" s="21" t="n"/>
      <c r="O162" s="24" t="n"/>
      <c r="P162" s="19" t="n"/>
      <c r="Q162" s="20" t="n"/>
      <c r="R162" s="23" t="n"/>
      <c r="S162" s="23" t="n"/>
      <c r="T162" s="21" t="n"/>
      <c r="U162" s="21" t="n"/>
      <c r="V162" s="21" t="n"/>
      <c r="W162" s="21" t="n"/>
      <c r="X162" s="21" t="n"/>
      <c r="Y162" s="25">
        <f>IF($C162="","",IF(E162="XAUUSD",0.1,IF(ISNUMBER(SEARCH("JPY",E162)),0.01,0.0001)))</f>
        <v/>
      </c>
      <c r="Z162" s="18">
        <f>IF($C162="","",IF(F162="Sell",-1,1))</f>
        <v/>
      </c>
      <c r="AA162" s="18">
        <f>IF($C162="","",IF(E162="XAUUSD",100,100000))</f>
        <v/>
      </c>
      <c r="AB162" s="26">
        <f>IF(OR(K162="",L162=""),"",ABS(K162-L162)/Y162)</f>
        <v/>
      </c>
      <c r="AC162" s="26">
        <f>IF(OR(K162="",M162=""),"",ABS(M162-K162)/Y162)</f>
        <v/>
      </c>
      <c r="AD162" s="26">
        <f>IF(OR(K162="",O162=""),"",(O162-K162)*Z162/Y162)</f>
        <v/>
      </c>
      <c r="AE162" s="27">
        <f>IF(OR(AB162="",AB162=0,AC162=""),"",AC162/AB162)</f>
        <v/>
      </c>
      <c r="AF162" s="27">
        <f>IF(OR(AB162="",AB162=0,AD162=""),"",AD162/AB162)</f>
        <v/>
      </c>
      <c r="AG162" s="27">
        <f>IF(OR(C162="",P162=""),"",((P162+IF(Q162="",0,Q162))-(C162+IF(D162="",0,D162)))*24)</f>
        <v/>
      </c>
      <c r="AH162" s="18">
        <f>IF(AG162="","",INT(AG162/24)&amp;"d "&amp;INT(MOD(AG162,24))&amp;"h "&amp;INT(MOD(AG162*60,60))&amp;"m")</f>
        <v/>
      </c>
      <c r="AI162" s="28">
        <f>IF(OR(O162="",K162="",H162=""),"",IF(OR(E162="XAUUSD",RIGHT(E162,3)="USD"),(O162-K162)*Z162*AA162*H162,IF(LEFT(E162,3)="USD",IF(O162=0,"",(O162-K162)*Z162*AA162*H162/O162),AD162*10*H162)))</f>
        <v/>
      </c>
      <c r="AJ162" s="28">
        <f>IF(O162="","",IF(S162="",IF(AI162="",0,AI162),S162)-IF(R162="",0,R162))</f>
        <v/>
      </c>
      <c r="AK162" s="18">
        <f>IF(C162="","",IF(OR(O162="",P162=""),"Open",IF(ABS(AJ162)&lt;=BEThreshold,"BE",IF(AJ162&gt;0,"Win","Loss"))))</f>
        <v/>
      </c>
      <c r="AL162" s="28">
        <f>IF(OR(C162="",AK162="Open"),"",InitialCapital+SUMIFS($AJ$2:AJ162,$AK$2:AK162,"&lt;&gt;Open"))</f>
        <v/>
      </c>
      <c r="AM162" s="18">
        <f>IF(OR(C162="",AK162=""),"",IF(AK162="Open","No","Yes"))</f>
        <v/>
      </c>
    </row>
    <row r="163" ht="18" customHeight="1">
      <c r="A163" s="18">
        <f>IF(C163="","",COUNTA($C$2:C163))</f>
        <v/>
      </c>
      <c r="B163" s="18">
        <f>IF(C163="","",TEXT(C163,"dddd"))</f>
        <v/>
      </c>
      <c r="C163" s="19" t="n"/>
      <c r="D163" s="20" t="n"/>
      <c r="E163" s="21" t="n"/>
      <c r="F163" s="21" t="n"/>
      <c r="G163" s="21" t="n"/>
      <c r="H163" s="22" t="n"/>
      <c r="I163" s="23" t="n"/>
      <c r="J163" s="22" t="n"/>
      <c r="K163" s="24" t="n"/>
      <c r="L163" s="24" t="n"/>
      <c r="M163" s="24" t="n"/>
      <c r="N163" s="21" t="n"/>
      <c r="O163" s="24" t="n"/>
      <c r="P163" s="19" t="n"/>
      <c r="Q163" s="20" t="n"/>
      <c r="R163" s="23" t="n"/>
      <c r="S163" s="23" t="n"/>
      <c r="T163" s="21" t="n"/>
      <c r="U163" s="21" t="n"/>
      <c r="V163" s="21" t="n"/>
      <c r="W163" s="21" t="n"/>
      <c r="X163" s="21" t="n"/>
      <c r="Y163" s="25">
        <f>IF($C163="","",IF(E163="XAUUSD",0.1,IF(ISNUMBER(SEARCH("JPY",E163)),0.01,0.0001)))</f>
        <v/>
      </c>
      <c r="Z163" s="18">
        <f>IF($C163="","",IF(F163="Sell",-1,1))</f>
        <v/>
      </c>
      <c r="AA163" s="18">
        <f>IF($C163="","",IF(E163="XAUUSD",100,100000))</f>
        <v/>
      </c>
      <c r="AB163" s="26">
        <f>IF(OR(K163="",L163=""),"",ABS(K163-L163)/Y163)</f>
        <v/>
      </c>
      <c r="AC163" s="26">
        <f>IF(OR(K163="",M163=""),"",ABS(M163-K163)/Y163)</f>
        <v/>
      </c>
      <c r="AD163" s="26">
        <f>IF(OR(K163="",O163=""),"",(O163-K163)*Z163/Y163)</f>
        <v/>
      </c>
      <c r="AE163" s="27">
        <f>IF(OR(AB163="",AB163=0,AC163=""),"",AC163/AB163)</f>
        <v/>
      </c>
      <c r="AF163" s="27">
        <f>IF(OR(AB163="",AB163=0,AD163=""),"",AD163/AB163)</f>
        <v/>
      </c>
      <c r="AG163" s="27">
        <f>IF(OR(C163="",P163=""),"",((P163+IF(Q163="",0,Q163))-(C163+IF(D163="",0,D163)))*24)</f>
        <v/>
      </c>
      <c r="AH163" s="18">
        <f>IF(AG163="","",INT(AG163/24)&amp;"d "&amp;INT(MOD(AG163,24))&amp;"h "&amp;INT(MOD(AG163*60,60))&amp;"m")</f>
        <v/>
      </c>
      <c r="AI163" s="28">
        <f>IF(OR(O163="",K163="",H163=""),"",IF(OR(E163="XAUUSD",RIGHT(E163,3)="USD"),(O163-K163)*Z163*AA163*H163,IF(LEFT(E163,3)="USD",IF(O163=0,"",(O163-K163)*Z163*AA163*H163/O163),AD163*10*H163)))</f>
        <v/>
      </c>
      <c r="AJ163" s="28">
        <f>IF(O163="","",IF(S163="",IF(AI163="",0,AI163),S163)-IF(R163="",0,R163))</f>
        <v/>
      </c>
      <c r="AK163" s="18">
        <f>IF(C163="","",IF(OR(O163="",P163=""),"Open",IF(ABS(AJ163)&lt;=BEThreshold,"BE",IF(AJ163&gt;0,"Win","Loss"))))</f>
        <v/>
      </c>
      <c r="AL163" s="28">
        <f>IF(OR(C163="",AK163="Open"),"",InitialCapital+SUMIFS($AJ$2:AJ163,$AK$2:AK163,"&lt;&gt;Open"))</f>
        <v/>
      </c>
      <c r="AM163" s="18">
        <f>IF(OR(C163="",AK163=""),"",IF(AK163="Open","No","Yes"))</f>
        <v/>
      </c>
    </row>
    <row r="164" ht="18" customHeight="1">
      <c r="A164" s="18">
        <f>IF(C164="","",COUNTA($C$2:C164))</f>
        <v/>
      </c>
      <c r="B164" s="18">
        <f>IF(C164="","",TEXT(C164,"dddd"))</f>
        <v/>
      </c>
      <c r="C164" s="19" t="n"/>
      <c r="D164" s="20" t="n"/>
      <c r="E164" s="21" t="n"/>
      <c r="F164" s="21" t="n"/>
      <c r="G164" s="21" t="n"/>
      <c r="H164" s="22" t="n"/>
      <c r="I164" s="23" t="n"/>
      <c r="J164" s="22" t="n"/>
      <c r="K164" s="24" t="n"/>
      <c r="L164" s="24" t="n"/>
      <c r="M164" s="24" t="n"/>
      <c r="N164" s="21" t="n"/>
      <c r="O164" s="24" t="n"/>
      <c r="P164" s="19" t="n"/>
      <c r="Q164" s="20" t="n"/>
      <c r="R164" s="23" t="n"/>
      <c r="S164" s="23" t="n"/>
      <c r="T164" s="21" t="n"/>
      <c r="U164" s="21" t="n"/>
      <c r="V164" s="21" t="n"/>
      <c r="W164" s="21" t="n"/>
      <c r="X164" s="21" t="n"/>
      <c r="Y164" s="25">
        <f>IF($C164="","",IF(E164="XAUUSD",0.1,IF(ISNUMBER(SEARCH("JPY",E164)),0.01,0.0001)))</f>
        <v/>
      </c>
      <c r="Z164" s="18">
        <f>IF($C164="","",IF(F164="Sell",-1,1))</f>
        <v/>
      </c>
      <c r="AA164" s="18">
        <f>IF($C164="","",IF(E164="XAUUSD",100,100000))</f>
        <v/>
      </c>
      <c r="AB164" s="26">
        <f>IF(OR(K164="",L164=""),"",ABS(K164-L164)/Y164)</f>
        <v/>
      </c>
      <c r="AC164" s="26">
        <f>IF(OR(K164="",M164=""),"",ABS(M164-K164)/Y164)</f>
        <v/>
      </c>
      <c r="AD164" s="26">
        <f>IF(OR(K164="",O164=""),"",(O164-K164)*Z164/Y164)</f>
        <v/>
      </c>
      <c r="AE164" s="27">
        <f>IF(OR(AB164="",AB164=0,AC164=""),"",AC164/AB164)</f>
        <v/>
      </c>
      <c r="AF164" s="27">
        <f>IF(OR(AB164="",AB164=0,AD164=""),"",AD164/AB164)</f>
        <v/>
      </c>
      <c r="AG164" s="27">
        <f>IF(OR(C164="",P164=""),"",((P164+IF(Q164="",0,Q164))-(C164+IF(D164="",0,D164)))*24)</f>
        <v/>
      </c>
      <c r="AH164" s="18">
        <f>IF(AG164="","",INT(AG164/24)&amp;"d "&amp;INT(MOD(AG164,24))&amp;"h "&amp;INT(MOD(AG164*60,60))&amp;"m")</f>
        <v/>
      </c>
      <c r="AI164" s="28">
        <f>IF(OR(O164="",K164="",H164=""),"",IF(OR(E164="XAUUSD",RIGHT(E164,3)="USD"),(O164-K164)*Z164*AA164*H164,IF(LEFT(E164,3)="USD",IF(O164=0,"",(O164-K164)*Z164*AA164*H164/O164),AD164*10*H164)))</f>
        <v/>
      </c>
      <c r="AJ164" s="28">
        <f>IF(O164="","",IF(S164="",IF(AI164="",0,AI164),S164)-IF(R164="",0,R164))</f>
        <v/>
      </c>
      <c r="AK164" s="18">
        <f>IF(C164="","",IF(OR(O164="",P164=""),"Open",IF(ABS(AJ164)&lt;=BEThreshold,"BE",IF(AJ164&gt;0,"Win","Loss"))))</f>
        <v/>
      </c>
      <c r="AL164" s="28">
        <f>IF(OR(C164="",AK164="Open"),"",InitialCapital+SUMIFS($AJ$2:AJ164,$AK$2:AK164,"&lt;&gt;Open"))</f>
        <v/>
      </c>
      <c r="AM164" s="18">
        <f>IF(OR(C164="",AK164=""),"",IF(AK164="Open","No","Yes"))</f>
        <v/>
      </c>
    </row>
    <row r="165" ht="18" customHeight="1">
      <c r="A165" s="18">
        <f>IF(C165="","",COUNTA($C$2:C165))</f>
        <v/>
      </c>
      <c r="B165" s="18">
        <f>IF(C165="","",TEXT(C165,"dddd"))</f>
        <v/>
      </c>
      <c r="C165" s="19" t="n"/>
      <c r="D165" s="20" t="n"/>
      <c r="E165" s="21" t="n"/>
      <c r="F165" s="21" t="n"/>
      <c r="G165" s="21" t="n"/>
      <c r="H165" s="22" t="n"/>
      <c r="I165" s="23" t="n"/>
      <c r="J165" s="22" t="n"/>
      <c r="K165" s="24" t="n"/>
      <c r="L165" s="24" t="n"/>
      <c r="M165" s="24" t="n"/>
      <c r="N165" s="21" t="n"/>
      <c r="O165" s="24" t="n"/>
      <c r="P165" s="19" t="n"/>
      <c r="Q165" s="20" t="n"/>
      <c r="R165" s="23" t="n"/>
      <c r="S165" s="23" t="n"/>
      <c r="T165" s="21" t="n"/>
      <c r="U165" s="21" t="n"/>
      <c r="V165" s="21" t="n"/>
      <c r="W165" s="21" t="n"/>
      <c r="X165" s="21" t="n"/>
      <c r="Y165" s="25">
        <f>IF($C165="","",IF(E165="XAUUSD",0.1,IF(ISNUMBER(SEARCH("JPY",E165)),0.01,0.0001)))</f>
        <v/>
      </c>
      <c r="Z165" s="18">
        <f>IF($C165="","",IF(F165="Sell",-1,1))</f>
        <v/>
      </c>
      <c r="AA165" s="18">
        <f>IF($C165="","",IF(E165="XAUUSD",100,100000))</f>
        <v/>
      </c>
      <c r="AB165" s="26">
        <f>IF(OR(K165="",L165=""),"",ABS(K165-L165)/Y165)</f>
        <v/>
      </c>
      <c r="AC165" s="26">
        <f>IF(OR(K165="",M165=""),"",ABS(M165-K165)/Y165)</f>
        <v/>
      </c>
      <c r="AD165" s="26">
        <f>IF(OR(K165="",O165=""),"",(O165-K165)*Z165/Y165)</f>
        <v/>
      </c>
      <c r="AE165" s="27">
        <f>IF(OR(AB165="",AB165=0,AC165=""),"",AC165/AB165)</f>
        <v/>
      </c>
      <c r="AF165" s="27">
        <f>IF(OR(AB165="",AB165=0,AD165=""),"",AD165/AB165)</f>
        <v/>
      </c>
      <c r="AG165" s="27">
        <f>IF(OR(C165="",P165=""),"",((P165+IF(Q165="",0,Q165))-(C165+IF(D165="",0,D165)))*24)</f>
        <v/>
      </c>
      <c r="AH165" s="18">
        <f>IF(AG165="","",INT(AG165/24)&amp;"d "&amp;INT(MOD(AG165,24))&amp;"h "&amp;INT(MOD(AG165*60,60))&amp;"m")</f>
        <v/>
      </c>
      <c r="AI165" s="28">
        <f>IF(OR(O165="",K165="",H165=""),"",IF(OR(E165="XAUUSD",RIGHT(E165,3)="USD"),(O165-K165)*Z165*AA165*H165,IF(LEFT(E165,3)="USD",IF(O165=0,"",(O165-K165)*Z165*AA165*H165/O165),AD165*10*H165)))</f>
        <v/>
      </c>
      <c r="AJ165" s="28">
        <f>IF(O165="","",IF(S165="",IF(AI165="",0,AI165),S165)-IF(R165="",0,R165))</f>
        <v/>
      </c>
      <c r="AK165" s="18">
        <f>IF(C165="","",IF(OR(O165="",P165=""),"Open",IF(ABS(AJ165)&lt;=BEThreshold,"BE",IF(AJ165&gt;0,"Win","Loss"))))</f>
        <v/>
      </c>
      <c r="AL165" s="28">
        <f>IF(OR(C165="",AK165="Open"),"",InitialCapital+SUMIFS($AJ$2:AJ165,$AK$2:AK165,"&lt;&gt;Open"))</f>
        <v/>
      </c>
      <c r="AM165" s="18">
        <f>IF(OR(C165="",AK165=""),"",IF(AK165="Open","No","Yes"))</f>
        <v/>
      </c>
    </row>
    <row r="166" ht="18" customHeight="1">
      <c r="A166" s="18">
        <f>IF(C166="","",COUNTA($C$2:C166))</f>
        <v/>
      </c>
      <c r="B166" s="18">
        <f>IF(C166="","",TEXT(C166,"dddd"))</f>
        <v/>
      </c>
      <c r="C166" s="19" t="n"/>
      <c r="D166" s="20" t="n"/>
      <c r="E166" s="21" t="n"/>
      <c r="F166" s="21" t="n"/>
      <c r="G166" s="21" t="n"/>
      <c r="H166" s="22" t="n"/>
      <c r="I166" s="23" t="n"/>
      <c r="J166" s="22" t="n"/>
      <c r="K166" s="24" t="n"/>
      <c r="L166" s="24" t="n"/>
      <c r="M166" s="24" t="n"/>
      <c r="N166" s="21" t="n"/>
      <c r="O166" s="24" t="n"/>
      <c r="P166" s="19" t="n"/>
      <c r="Q166" s="20" t="n"/>
      <c r="R166" s="23" t="n"/>
      <c r="S166" s="23" t="n"/>
      <c r="T166" s="21" t="n"/>
      <c r="U166" s="21" t="n"/>
      <c r="V166" s="21" t="n"/>
      <c r="W166" s="21" t="n"/>
      <c r="X166" s="21" t="n"/>
      <c r="Y166" s="25">
        <f>IF($C166="","",IF(E166="XAUUSD",0.1,IF(ISNUMBER(SEARCH("JPY",E166)),0.01,0.0001)))</f>
        <v/>
      </c>
      <c r="Z166" s="18">
        <f>IF($C166="","",IF(F166="Sell",-1,1))</f>
        <v/>
      </c>
      <c r="AA166" s="18">
        <f>IF($C166="","",IF(E166="XAUUSD",100,100000))</f>
        <v/>
      </c>
      <c r="AB166" s="26">
        <f>IF(OR(K166="",L166=""),"",ABS(K166-L166)/Y166)</f>
        <v/>
      </c>
      <c r="AC166" s="26">
        <f>IF(OR(K166="",M166=""),"",ABS(M166-K166)/Y166)</f>
        <v/>
      </c>
      <c r="AD166" s="26">
        <f>IF(OR(K166="",O166=""),"",(O166-K166)*Z166/Y166)</f>
        <v/>
      </c>
      <c r="AE166" s="27">
        <f>IF(OR(AB166="",AB166=0,AC166=""),"",AC166/AB166)</f>
        <v/>
      </c>
      <c r="AF166" s="27">
        <f>IF(OR(AB166="",AB166=0,AD166=""),"",AD166/AB166)</f>
        <v/>
      </c>
      <c r="AG166" s="27">
        <f>IF(OR(C166="",P166=""),"",((P166+IF(Q166="",0,Q166))-(C166+IF(D166="",0,D166)))*24)</f>
        <v/>
      </c>
      <c r="AH166" s="18">
        <f>IF(AG166="","",INT(AG166/24)&amp;"d "&amp;INT(MOD(AG166,24))&amp;"h "&amp;INT(MOD(AG166*60,60))&amp;"m")</f>
        <v/>
      </c>
      <c r="AI166" s="28">
        <f>IF(OR(O166="",K166="",H166=""),"",IF(OR(E166="XAUUSD",RIGHT(E166,3)="USD"),(O166-K166)*Z166*AA166*H166,IF(LEFT(E166,3)="USD",IF(O166=0,"",(O166-K166)*Z166*AA166*H166/O166),AD166*10*H166)))</f>
        <v/>
      </c>
      <c r="AJ166" s="28">
        <f>IF(O166="","",IF(S166="",IF(AI166="",0,AI166),S166)-IF(R166="",0,R166))</f>
        <v/>
      </c>
      <c r="AK166" s="18">
        <f>IF(C166="","",IF(OR(O166="",P166=""),"Open",IF(ABS(AJ166)&lt;=BEThreshold,"BE",IF(AJ166&gt;0,"Win","Loss"))))</f>
        <v/>
      </c>
      <c r="AL166" s="28">
        <f>IF(OR(C166="",AK166="Open"),"",InitialCapital+SUMIFS($AJ$2:AJ166,$AK$2:AK166,"&lt;&gt;Open"))</f>
        <v/>
      </c>
      <c r="AM166" s="18">
        <f>IF(OR(C166="",AK166=""),"",IF(AK166="Open","No","Yes"))</f>
        <v/>
      </c>
    </row>
    <row r="167" ht="18" customHeight="1">
      <c r="A167" s="18">
        <f>IF(C167="","",COUNTA($C$2:C167))</f>
        <v/>
      </c>
      <c r="B167" s="18">
        <f>IF(C167="","",TEXT(C167,"dddd"))</f>
        <v/>
      </c>
      <c r="C167" s="19" t="n"/>
      <c r="D167" s="20" t="n"/>
      <c r="E167" s="21" t="n"/>
      <c r="F167" s="21" t="n"/>
      <c r="G167" s="21" t="n"/>
      <c r="H167" s="22" t="n"/>
      <c r="I167" s="23" t="n"/>
      <c r="J167" s="22" t="n"/>
      <c r="K167" s="24" t="n"/>
      <c r="L167" s="24" t="n"/>
      <c r="M167" s="24" t="n"/>
      <c r="N167" s="21" t="n"/>
      <c r="O167" s="24" t="n"/>
      <c r="P167" s="19" t="n"/>
      <c r="Q167" s="20" t="n"/>
      <c r="R167" s="23" t="n"/>
      <c r="S167" s="23" t="n"/>
      <c r="T167" s="21" t="n"/>
      <c r="U167" s="21" t="n"/>
      <c r="V167" s="21" t="n"/>
      <c r="W167" s="21" t="n"/>
      <c r="X167" s="21" t="n"/>
      <c r="Y167" s="25">
        <f>IF($C167="","",IF(E167="XAUUSD",0.1,IF(ISNUMBER(SEARCH("JPY",E167)),0.01,0.0001)))</f>
        <v/>
      </c>
      <c r="Z167" s="18">
        <f>IF($C167="","",IF(F167="Sell",-1,1))</f>
        <v/>
      </c>
      <c r="AA167" s="18">
        <f>IF($C167="","",IF(E167="XAUUSD",100,100000))</f>
        <v/>
      </c>
      <c r="AB167" s="26">
        <f>IF(OR(K167="",L167=""),"",ABS(K167-L167)/Y167)</f>
        <v/>
      </c>
      <c r="AC167" s="26">
        <f>IF(OR(K167="",M167=""),"",ABS(M167-K167)/Y167)</f>
        <v/>
      </c>
      <c r="AD167" s="26">
        <f>IF(OR(K167="",O167=""),"",(O167-K167)*Z167/Y167)</f>
        <v/>
      </c>
      <c r="AE167" s="27">
        <f>IF(OR(AB167="",AB167=0,AC167=""),"",AC167/AB167)</f>
        <v/>
      </c>
      <c r="AF167" s="27">
        <f>IF(OR(AB167="",AB167=0,AD167=""),"",AD167/AB167)</f>
        <v/>
      </c>
      <c r="AG167" s="27">
        <f>IF(OR(C167="",P167=""),"",((P167+IF(Q167="",0,Q167))-(C167+IF(D167="",0,D167)))*24)</f>
        <v/>
      </c>
      <c r="AH167" s="18">
        <f>IF(AG167="","",INT(AG167/24)&amp;"d "&amp;INT(MOD(AG167,24))&amp;"h "&amp;INT(MOD(AG167*60,60))&amp;"m")</f>
        <v/>
      </c>
      <c r="AI167" s="28">
        <f>IF(OR(O167="",K167="",H167=""),"",IF(OR(E167="XAUUSD",RIGHT(E167,3)="USD"),(O167-K167)*Z167*AA167*H167,IF(LEFT(E167,3)="USD",IF(O167=0,"",(O167-K167)*Z167*AA167*H167/O167),AD167*10*H167)))</f>
        <v/>
      </c>
      <c r="AJ167" s="28">
        <f>IF(O167="","",IF(S167="",IF(AI167="",0,AI167),S167)-IF(R167="",0,R167))</f>
        <v/>
      </c>
      <c r="AK167" s="18">
        <f>IF(C167="","",IF(OR(O167="",P167=""),"Open",IF(ABS(AJ167)&lt;=BEThreshold,"BE",IF(AJ167&gt;0,"Win","Loss"))))</f>
        <v/>
      </c>
      <c r="AL167" s="28">
        <f>IF(OR(C167="",AK167="Open"),"",InitialCapital+SUMIFS($AJ$2:AJ167,$AK$2:AK167,"&lt;&gt;Open"))</f>
        <v/>
      </c>
      <c r="AM167" s="18">
        <f>IF(OR(C167="",AK167=""),"",IF(AK167="Open","No","Yes"))</f>
        <v/>
      </c>
    </row>
    <row r="168" ht="18" customHeight="1">
      <c r="A168" s="18">
        <f>IF(C168="","",COUNTA($C$2:C168))</f>
        <v/>
      </c>
      <c r="B168" s="18">
        <f>IF(C168="","",TEXT(C168,"dddd"))</f>
        <v/>
      </c>
      <c r="C168" s="19" t="n"/>
      <c r="D168" s="20" t="n"/>
      <c r="E168" s="21" t="n"/>
      <c r="F168" s="21" t="n"/>
      <c r="G168" s="21" t="n"/>
      <c r="H168" s="22" t="n"/>
      <c r="I168" s="23" t="n"/>
      <c r="J168" s="22" t="n"/>
      <c r="K168" s="24" t="n"/>
      <c r="L168" s="24" t="n"/>
      <c r="M168" s="24" t="n"/>
      <c r="N168" s="21" t="n"/>
      <c r="O168" s="24" t="n"/>
      <c r="P168" s="19" t="n"/>
      <c r="Q168" s="20" t="n"/>
      <c r="R168" s="23" t="n"/>
      <c r="S168" s="23" t="n"/>
      <c r="T168" s="21" t="n"/>
      <c r="U168" s="21" t="n"/>
      <c r="V168" s="21" t="n"/>
      <c r="W168" s="21" t="n"/>
      <c r="X168" s="21" t="n"/>
      <c r="Y168" s="25">
        <f>IF($C168="","",IF(E168="XAUUSD",0.1,IF(ISNUMBER(SEARCH("JPY",E168)),0.01,0.0001)))</f>
        <v/>
      </c>
      <c r="Z168" s="18">
        <f>IF($C168="","",IF(F168="Sell",-1,1))</f>
        <v/>
      </c>
      <c r="AA168" s="18">
        <f>IF($C168="","",IF(E168="XAUUSD",100,100000))</f>
        <v/>
      </c>
      <c r="AB168" s="26">
        <f>IF(OR(K168="",L168=""),"",ABS(K168-L168)/Y168)</f>
        <v/>
      </c>
      <c r="AC168" s="26">
        <f>IF(OR(K168="",M168=""),"",ABS(M168-K168)/Y168)</f>
        <v/>
      </c>
      <c r="AD168" s="26">
        <f>IF(OR(K168="",O168=""),"",(O168-K168)*Z168/Y168)</f>
        <v/>
      </c>
      <c r="AE168" s="27">
        <f>IF(OR(AB168="",AB168=0,AC168=""),"",AC168/AB168)</f>
        <v/>
      </c>
      <c r="AF168" s="27">
        <f>IF(OR(AB168="",AB168=0,AD168=""),"",AD168/AB168)</f>
        <v/>
      </c>
      <c r="AG168" s="27">
        <f>IF(OR(C168="",P168=""),"",((P168+IF(Q168="",0,Q168))-(C168+IF(D168="",0,D168)))*24)</f>
        <v/>
      </c>
      <c r="AH168" s="18">
        <f>IF(AG168="","",INT(AG168/24)&amp;"d "&amp;INT(MOD(AG168,24))&amp;"h "&amp;INT(MOD(AG168*60,60))&amp;"m")</f>
        <v/>
      </c>
      <c r="AI168" s="28">
        <f>IF(OR(O168="",K168="",H168=""),"",IF(OR(E168="XAUUSD",RIGHT(E168,3)="USD"),(O168-K168)*Z168*AA168*H168,IF(LEFT(E168,3)="USD",IF(O168=0,"",(O168-K168)*Z168*AA168*H168/O168),AD168*10*H168)))</f>
        <v/>
      </c>
      <c r="AJ168" s="28">
        <f>IF(O168="","",IF(S168="",IF(AI168="",0,AI168),S168)-IF(R168="",0,R168))</f>
        <v/>
      </c>
      <c r="AK168" s="18">
        <f>IF(C168="","",IF(OR(O168="",P168=""),"Open",IF(ABS(AJ168)&lt;=BEThreshold,"BE",IF(AJ168&gt;0,"Win","Loss"))))</f>
        <v/>
      </c>
      <c r="AL168" s="28">
        <f>IF(OR(C168="",AK168="Open"),"",InitialCapital+SUMIFS($AJ$2:AJ168,$AK$2:AK168,"&lt;&gt;Open"))</f>
        <v/>
      </c>
      <c r="AM168" s="18">
        <f>IF(OR(C168="",AK168=""),"",IF(AK168="Open","No","Yes"))</f>
        <v/>
      </c>
    </row>
    <row r="169" ht="18" customHeight="1">
      <c r="A169" s="18">
        <f>IF(C169="","",COUNTA($C$2:C169))</f>
        <v/>
      </c>
      <c r="B169" s="18">
        <f>IF(C169="","",TEXT(C169,"dddd"))</f>
        <v/>
      </c>
      <c r="C169" s="19" t="n"/>
      <c r="D169" s="20" t="n"/>
      <c r="E169" s="21" t="n"/>
      <c r="F169" s="21" t="n"/>
      <c r="G169" s="21" t="n"/>
      <c r="H169" s="22" t="n"/>
      <c r="I169" s="23" t="n"/>
      <c r="J169" s="22" t="n"/>
      <c r="K169" s="24" t="n"/>
      <c r="L169" s="24" t="n"/>
      <c r="M169" s="24" t="n"/>
      <c r="N169" s="21" t="n"/>
      <c r="O169" s="24" t="n"/>
      <c r="P169" s="19" t="n"/>
      <c r="Q169" s="20" t="n"/>
      <c r="R169" s="23" t="n"/>
      <c r="S169" s="23" t="n"/>
      <c r="T169" s="21" t="n"/>
      <c r="U169" s="21" t="n"/>
      <c r="V169" s="21" t="n"/>
      <c r="W169" s="21" t="n"/>
      <c r="X169" s="21" t="n"/>
      <c r="Y169" s="25">
        <f>IF($C169="","",IF(E169="XAUUSD",0.1,IF(ISNUMBER(SEARCH("JPY",E169)),0.01,0.0001)))</f>
        <v/>
      </c>
      <c r="Z169" s="18">
        <f>IF($C169="","",IF(F169="Sell",-1,1))</f>
        <v/>
      </c>
      <c r="AA169" s="18">
        <f>IF($C169="","",IF(E169="XAUUSD",100,100000))</f>
        <v/>
      </c>
      <c r="AB169" s="26">
        <f>IF(OR(K169="",L169=""),"",ABS(K169-L169)/Y169)</f>
        <v/>
      </c>
      <c r="AC169" s="26">
        <f>IF(OR(K169="",M169=""),"",ABS(M169-K169)/Y169)</f>
        <v/>
      </c>
      <c r="AD169" s="26">
        <f>IF(OR(K169="",O169=""),"",(O169-K169)*Z169/Y169)</f>
        <v/>
      </c>
      <c r="AE169" s="27">
        <f>IF(OR(AB169="",AB169=0,AC169=""),"",AC169/AB169)</f>
        <v/>
      </c>
      <c r="AF169" s="27">
        <f>IF(OR(AB169="",AB169=0,AD169=""),"",AD169/AB169)</f>
        <v/>
      </c>
      <c r="AG169" s="27">
        <f>IF(OR(C169="",P169=""),"",((P169+IF(Q169="",0,Q169))-(C169+IF(D169="",0,D169)))*24)</f>
        <v/>
      </c>
      <c r="AH169" s="18">
        <f>IF(AG169="","",INT(AG169/24)&amp;"d "&amp;INT(MOD(AG169,24))&amp;"h "&amp;INT(MOD(AG169*60,60))&amp;"m")</f>
        <v/>
      </c>
      <c r="AI169" s="28">
        <f>IF(OR(O169="",K169="",H169=""),"",IF(OR(E169="XAUUSD",RIGHT(E169,3)="USD"),(O169-K169)*Z169*AA169*H169,IF(LEFT(E169,3)="USD",IF(O169=0,"",(O169-K169)*Z169*AA169*H169/O169),AD169*10*H169)))</f>
        <v/>
      </c>
      <c r="AJ169" s="28">
        <f>IF(O169="","",IF(S169="",IF(AI169="",0,AI169),S169)-IF(R169="",0,R169))</f>
        <v/>
      </c>
      <c r="AK169" s="18">
        <f>IF(C169="","",IF(OR(O169="",P169=""),"Open",IF(ABS(AJ169)&lt;=BEThreshold,"BE",IF(AJ169&gt;0,"Win","Loss"))))</f>
        <v/>
      </c>
      <c r="AL169" s="28">
        <f>IF(OR(C169="",AK169="Open"),"",InitialCapital+SUMIFS($AJ$2:AJ169,$AK$2:AK169,"&lt;&gt;Open"))</f>
        <v/>
      </c>
      <c r="AM169" s="18">
        <f>IF(OR(C169="",AK169=""),"",IF(AK169="Open","No","Yes"))</f>
        <v/>
      </c>
    </row>
    <row r="170" ht="18" customHeight="1">
      <c r="A170" s="18">
        <f>IF(C170="","",COUNTA($C$2:C170))</f>
        <v/>
      </c>
      <c r="B170" s="18">
        <f>IF(C170="","",TEXT(C170,"dddd"))</f>
        <v/>
      </c>
      <c r="C170" s="19" t="n"/>
      <c r="D170" s="20" t="n"/>
      <c r="E170" s="21" t="n"/>
      <c r="F170" s="21" t="n"/>
      <c r="G170" s="21" t="n"/>
      <c r="H170" s="22" t="n"/>
      <c r="I170" s="23" t="n"/>
      <c r="J170" s="22" t="n"/>
      <c r="K170" s="24" t="n"/>
      <c r="L170" s="24" t="n"/>
      <c r="M170" s="24" t="n"/>
      <c r="N170" s="21" t="n"/>
      <c r="O170" s="24" t="n"/>
      <c r="P170" s="19" t="n"/>
      <c r="Q170" s="20" t="n"/>
      <c r="R170" s="23" t="n"/>
      <c r="S170" s="23" t="n"/>
      <c r="T170" s="21" t="n"/>
      <c r="U170" s="21" t="n"/>
      <c r="V170" s="21" t="n"/>
      <c r="W170" s="21" t="n"/>
      <c r="X170" s="21" t="n"/>
      <c r="Y170" s="25">
        <f>IF($C170="","",IF(E170="XAUUSD",0.1,IF(ISNUMBER(SEARCH("JPY",E170)),0.01,0.0001)))</f>
        <v/>
      </c>
      <c r="Z170" s="18">
        <f>IF($C170="","",IF(F170="Sell",-1,1))</f>
        <v/>
      </c>
      <c r="AA170" s="18">
        <f>IF($C170="","",IF(E170="XAUUSD",100,100000))</f>
        <v/>
      </c>
      <c r="AB170" s="26">
        <f>IF(OR(K170="",L170=""),"",ABS(K170-L170)/Y170)</f>
        <v/>
      </c>
      <c r="AC170" s="26">
        <f>IF(OR(K170="",M170=""),"",ABS(M170-K170)/Y170)</f>
        <v/>
      </c>
      <c r="AD170" s="26">
        <f>IF(OR(K170="",O170=""),"",(O170-K170)*Z170/Y170)</f>
        <v/>
      </c>
      <c r="AE170" s="27">
        <f>IF(OR(AB170="",AB170=0,AC170=""),"",AC170/AB170)</f>
        <v/>
      </c>
      <c r="AF170" s="27">
        <f>IF(OR(AB170="",AB170=0,AD170=""),"",AD170/AB170)</f>
        <v/>
      </c>
      <c r="AG170" s="27">
        <f>IF(OR(C170="",P170=""),"",((P170+IF(Q170="",0,Q170))-(C170+IF(D170="",0,D170)))*24)</f>
        <v/>
      </c>
      <c r="AH170" s="18">
        <f>IF(AG170="","",INT(AG170/24)&amp;"d "&amp;INT(MOD(AG170,24))&amp;"h "&amp;INT(MOD(AG170*60,60))&amp;"m")</f>
        <v/>
      </c>
      <c r="AI170" s="28">
        <f>IF(OR(O170="",K170="",H170=""),"",IF(OR(E170="XAUUSD",RIGHT(E170,3)="USD"),(O170-K170)*Z170*AA170*H170,IF(LEFT(E170,3)="USD",IF(O170=0,"",(O170-K170)*Z170*AA170*H170/O170),AD170*10*H170)))</f>
        <v/>
      </c>
      <c r="AJ170" s="28">
        <f>IF(O170="","",IF(S170="",IF(AI170="",0,AI170),S170)-IF(R170="",0,R170))</f>
        <v/>
      </c>
      <c r="AK170" s="18">
        <f>IF(C170="","",IF(OR(O170="",P170=""),"Open",IF(ABS(AJ170)&lt;=BEThreshold,"BE",IF(AJ170&gt;0,"Win","Loss"))))</f>
        <v/>
      </c>
      <c r="AL170" s="28">
        <f>IF(OR(C170="",AK170="Open"),"",InitialCapital+SUMIFS($AJ$2:AJ170,$AK$2:AK170,"&lt;&gt;Open"))</f>
        <v/>
      </c>
      <c r="AM170" s="18">
        <f>IF(OR(C170="",AK170=""),"",IF(AK170="Open","No","Yes"))</f>
        <v/>
      </c>
    </row>
    <row r="171" ht="18" customHeight="1">
      <c r="A171" s="18">
        <f>IF(C171="","",COUNTA($C$2:C171))</f>
        <v/>
      </c>
      <c r="B171" s="18">
        <f>IF(C171="","",TEXT(C171,"dddd"))</f>
        <v/>
      </c>
      <c r="C171" s="19" t="n"/>
      <c r="D171" s="20" t="n"/>
      <c r="E171" s="21" t="n"/>
      <c r="F171" s="21" t="n"/>
      <c r="G171" s="21" t="n"/>
      <c r="H171" s="22" t="n"/>
      <c r="I171" s="23" t="n"/>
      <c r="J171" s="22" t="n"/>
      <c r="K171" s="24" t="n"/>
      <c r="L171" s="24" t="n"/>
      <c r="M171" s="24" t="n"/>
      <c r="N171" s="21" t="n"/>
      <c r="O171" s="24" t="n"/>
      <c r="P171" s="19" t="n"/>
      <c r="Q171" s="20" t="n"/>
      <c r="R171" s="23" t="n"/>
      <c r="S171" s="23" t="n"/>
      <c r="T171" s="21" t="n"/>
      <c r="U171" s="21" t="n"/>
      <c r="V171" s="21" t="n"/>
      <c r="W171" s="21" t="n"/>
      <c r="X171" s="21" t="n"/>
      <c r="Y171" s="25">
        <f>IF($C171="","",IF(E171="XAUUSD",0.1,IF(ISNUMBER(SEARCH("JPY",E171)),0.01,0.0001)))</f>
        <v/>
      </c>
      <c r="Z171" s="18">
        <f>IF($C171="","",IF(F171="Sell",-1,1))</f>
        <v/>
      </c>
      <c r="AA171" s="18">
        <f>IF($C171="","",IF(E171="XAUUSD",100,100000))</f>
        <v/>
      </c>
      <c r="AB171" s="26">
        <f>IF(OR(K171="",L171=""),"",ABS(K171-L171)/Y171)</f>
        <v/>
      </c>
      <c r="AC171" s="26">
        <f>IF(OR(K171="",M171=""),"",ABS(M171-K171)/Y171)</f>
        <v/>
      </c>
      <c r="AD171" s="26">
        <f>IF(OR(K171="",O171=""),"",(O171-K171)*Z171/Y171)</f>
        <v/>
      </c>
      <c r="AE171" s="27">
        <f>IF(OR(AB171="",AB171=0,AC171=""),"",AC171/AB171)</f>
        <v/>
      </c>
      <c r="AF171" s="27">
        <f>IF(OR(AB171="",AB171=0,AD171=""),"",AD171/AB171)</f>
        <v/>
      </c>
      <c r="AG171" s="27">
        <f>IF(OR(C171="",P171=""),"",((P171+IF(Q171="",0,Q171))-(C171+IF(D171="",0,D171)))*24)</f>
        <v/>
      </c>
      <c r="AH171" s="18">
        <f>IF(AG171="","",INT(AG171/24)&amp;"d "&amp;INT(MOD(AG171,24))&amp;"h "&amp;INT(MOD(AG171*60,60))&amp;"m")</f>
        <v/>
      </c>
      <c r="AI171" s="28">
        <f>IF(OR(O171="",K171="",H171=""),"",IF(OR(E171="XAUUSD",RIGHT(E171,3)="USD"),(O171-K171)*Z171*AA171*H171,IF(LEFT(E171,3)="USD",IF(O171=0,"",(O171-K171)*Z171*AA171*H171/O171),AD171*10*H171)))</f>
        <v/>
      </c>
      <c r="AJ171" s="28">
        <f>IF(O171="","",IF(S171="",IF(AI171="",0,AI171),S171)-IF(R171="",0,R171))</f>
        <v/>
      </c>
      <c r="AK171" s="18">
        <f>IF(C171="","",IF(OR(O171="",P171=""),"Open",IF(ABS(AJ171)&lt;=BEThreshold,"BE",IF(AJ171&gt;0,"Win","Loss"))))</f>
        <v/>
      </c>
      <c r="AL171" s="28">
        <f>IF(OR(C171="",AK171="Open"),"",InitialCapital+SUMIFS($AJ$2:AJ171,$AK$2:AK171,"&lt;&gt;Open"))</f>
        <v/>
      </c>
      <c r="AM171" s="18">
        <f>IF(OR(C171="",AK171=""),"",IF(AK171="Open","No","Yes"))</f>
        <v/>
      </c>
    </row>
    <row r="172" ht="18" customHeight="1">
      <c r="A172" s="18">
        <f>IF(C172="","",COUNTA($C$2:C172))</f>
        <v/>
      </c>
      <c r="B172" s="18">
        <f>IF(C172="","",TEXT(C172,"dddd"))</f>
        <v/>
      </c>
      <c r="C172" s="19" t="n"/>
      <c r="D172" s="20" t="n"/>
      <c r="E172" s="21" t="n"/>
      <c r="F172" s="21" t="n"/>
      <c r="G172" s="21" t="n"/>
      <c r="H172" s="22" t="n"/>
      <c r="I172" s="23" t="n"/>
      <c r="J172" s="22" t="n"/>
      <c r="K172" s="24" t="n"/>
      <c r="L172" s="24" t="n"/>
      <c r="M172" s="24" t="n"/>
      <c r="N172" s="21" t="n"/>
      <c r="O172" s="24" t="n"/>
      <c r="P172" s="19" t="n"/>
      <c r="Q172" s="20" t="n"/>
      <c r="R172" s="23" t="n"/>
      <c r="S172" s="23" t="n"/>
      <c r="T172" s="21" t="n"/>
      <c r="U172" s="21" t="n"/>
      <c r="V172" s="21" t="n"/>
      <c r="W172" s="21" t="n"/>
      <c r="X172" s="21" t="n"/>
      <c r="Y172" s="25">
        <f>IF($C172="","",IF(E172="XAUUSD",0.1,IF(ISNUMBER(SEARCH("JPY",E172)),0.01,0.0001)))</f>
        <v/>
      </c>
      <c r="Z172" s="18">
        <f>IF($C172="","",IF(F172="Sell",-1,1))</f>
        <v/>
      </c>
      <c r="AA172" s="18">
        <f>IF($C172="","",IF(E172="XAUUSD",100,100000))</f>
        <v/>
      </c>
      <c r="AB172" s="26">
        <f>IF(OR(K172="",L172=""),"",ABS(K172-L172)/Y172)</f>
        <v/>
      </c>
      <c r="AC172" s="26">
        <f>IF(OR(K172="",M172=""),"",ABS(M172-K172)/Y172)</f>
        <v/>
      </c>
      <c r="AD172" s="26">
        <f>IF(OR(K172="",O172=""),"",(O172-K172)*Z172/Y172)</f>
        <v/>
      </c>
      <c r="AE172" s="27">
        <f>IF(OR(AB172="",AB172=0,AC172=""),"",AC172/AB172)</f>
        <v/>
      </c>
      <c r="AF172" s="27">
        <f>IF(OR(AB172="",AB172=0,AD172=""),"",AD172/AB172)</f>
        <v/>
      </c>
      <c r="AG172" s="27">
        <f>IF(OR(C172="",P172=""),"",((P172+IF(Q172="",0,Q172))-(C172+IF(D172="",0,D172)))*24)</f>
        <v/>
      </c>
      <c r="AH172" s="18">
        <f>IF(AG172="","",INT(AG172/24)&amp;"d "&amp;INT(MOD(AG172,24))&amp;"h "&amp;INT(MOD(AG172*60,60))&amp;"m")</f>
        <v/>
      </c>
      <c r="AI172" s="28">
        <f>IF(OR(O172="",K172="",H172=""),"",IF(OR(E172="XAUUSD",RIGHT(E172,3)="USD"),(O172-K172)*Z172*AA172*H172,IF(LEFT(E172,3)="USD",IF(O172=0,"",(O172-K172)*Z172*AA172*H172/O172),AD172*10*H172)))</f>
        <v/>
      </c>
      <c r="AJ172" s="28">
        <f>IF(O172="","",IF(S172="",IF(AI172="",0,AI172),S172)-IF(R172="",0,R172))</f>
        <v/>
      </c>
      <c r="AK172" s="18">
        <f>IF(C172="","",IF(OR(O172="",P172=""),"Open",IF(ABS(AJ172)&lt;=BEThreshold,"BE",IF(AJ172&gt;0,"Win","Loss"))))</f>
        <v/>
      </c>
      <c r="AL172" s="28">
        <f>IF(OR(C172="",AK172="Open"),"",InitialCapital+SUMIFS($AJ$2:AJ172,$AK$2:AK172,"&lt;&gt;Open"))</f>
        <v/>
      </c>
      <c r="AM172" s="18">
        <f>IF(OR(C172="",AK172=""),"",IF(AK172="Open","No","Yes"))</f>
        <v/>
      </c>
    </row>
    <row r="173" ht="18" customHeight="1">
      <c r="A173" s="18">
        <f>IF(C173="","",COUNTA($C$2:C173))</f>
        <v/>
      </c>
      <c r="B173" s="18">
        <f>IF(C173="","",TEXT(C173,"dddd"))</f>
        <v/>
      </c>
      <c r="C173" s="19" t="n"/>
      <c r="D173" s="20" t="n"/>
      <c r="E173" s="21" t="n"/>
      <c r="F173" s="21" t="n"/>
      <c r="G173" s="21" t="n"/>
      <c r="H173" s="22" t="n"/>
      <c r="I173" s="23" t="n"/>
      <c r="J173" s="22" t="n"/>
      <c r="K173" s="24" t="n"/>
      <c r="L173" s="24" t="n"/>
      <c r="M173" s="24" t="n"/>
      <c r="N173" s="21" t="n"/>
      <c r="O173" s="24" t="n"/>
      <c r="P173" s="19" t="n"/>
      <c r="Q173" s="20" t="n"/>
      <c r="R173" s="23" t="n"/>
      <c r="S173" s="23" t="n"/>
      <c r="T173" s="21" t="n"/>
      <c r="U173" s="21" t="n"/>
      <c r="V173" s="21" t="n"/>
      <c r="W173" s="21" t="n"/>
      <c r="X173" s="21" t="n"/>
      <c r="Y173" s="25">
        <f>IF($C173="","",IF(E173="XAUUSD",0.1,IF(ISNUMBER(SEARCH("JPY",E173)),0.01,0.0001)))</f>
        <v/>
      </c>
      <c r="Z173" s="18">
        <f>IF($C173="","",IF(F173="Sell",-1,1))</f>
        <v/>
      </c>
      <c r="AA173" s="18">
        <f>IF($C173="","",IF(E173="XAUUSD",100,100000))</f>
        <v/>
      </c>
      <c r="AB173" s="26">
        <f>IF(OR(K173="",L173=""),"",ABS(K173-L173)/Y173)</f>
        <v/>
      </c>
      <c r="AC173" s="26">
        <f>IF(OR(K173="",M173=""),"",ABS(M173-K173)/Y173)</f>
        <v/>
      </c>
      <c r="AD173" s="26">
        <f>IF(OR(K173="",O173=""),"",(O173-K173)*Z173/Y173)</f>
        <v/>
      </c>
      <c r="AE173" s="27">
        <f>IF(OR(AB173="",AB173=0,AC173=""),"",AC173/AB173)</f>
        <v/>
      </c>
      <c r="AF173" s="27">
        <f>IF(OR(AB173="",AB173=0,AD173=""),"",AD173/AB173)</f>
        <v/>
      </c>
      <c r="AG173" s="27">
        <f>IF(OR(C173="",P173=""),"",((P173+IF(Q173="",0,Q173))-(C173+IF(D173="",0,D173)))*24)</f>
        <v/>
      </c>
      <c r="AH173" s="18">
        <f>IF(AG173="","",INT(AG173/24)&amp;"d "&amp;INT(MOD(AG173,24))&amp;"h "&amp;INT(MOD(AG173*60,60))&amp;"m")</f>
        <v/>
      </c>
      <c r="AI173" s="28">
        <f>IF(OR(O173="",K173="",H173=""),"",IF(OR(E173="XAUUSD",RIGHT(E173,3)="USD"),(O173-K173)*Z173*AA173*H173,IF(LEFT(E173,3)="USD",IF(O173=0,"",(O173-K173)*Z173*AA173*H173/O173),AD173*10*H173)))</f>
        <v/>
      </c>
      <c r="AJ173" s="28">
        <f>IF(O173="","",IF(S173="",IF(AI173="",0,AI173),S173)-IF(R173="",0,R173))</f>
        <v/>
      </c>
      <c r="AK173" s="18">
        <f>IF(C173="","",IF(OR(O173="",P173=""),"Open",IF(ABS(AJ173)&lt;=BEThreshold,"BE",IF(AJ173&gt;0,"Win","Loss"))))</f>
        <v/>
      </c>
      <c r="AL173" s="28">
        <f>IF(OR(C173="",AK173="Open"),"",InitialCapital+SUMIFS($AJ$2:AJ173,$AK$2:AK173,"&lt;&gt;Open"))</f>
        <v/>
      </c>
      <c r="AM173" s="18">
        <f>IF(OR(C173="",AK173=""),"",IF(AK173="Open","No","Yes"))</f>
        <v/>
      </c>
    </row>
    <row r="174" ht="18" customHeight="1">
      <c r="A174" s="18">
        <f>IF(C174="","",COUNTA($C$2:C174))</f>
        <v/>
      </c>
      <c r="B174" s="18">
        <f>IF(C174="","",TEXT(C174,"dddd"))</f>
        <v/>
      </c>
      <c r="C174" s="19" t="n"/>
      <c r="D174" s="20" t="n"/>
      <c r="E174" s="21" t="n"/>
      <c r="F174" s="21" t="n"/>
      <c r="G174" s="21" t="n"/>
      <c r="H174" s="22" t="n"/>
      <c r="I174" s="23" t="n"/>
      <c r="J174" s="22" t="n"/>
      <c r="K174" s="24" t="n"/>
      <c r="L174" s="24" t="n"/>
      <c r="M174" s="24" t="n"/>
      <c r="N174" s="21" t="n"/>
      <c r="O174" s="24" t="n"/>
      <c r="P174" s="19" t="n"/>
      <c r="Q174" s="20" t="n"/>
      <c r="R174" s="23" t="n"/>
      <c r="S174" s="23" t="n"/>
      <c r="T174" s="21" t="n"/>
      <c r="U174" s="21" t="n"/>
      <c r="V174" s="21" t="n"/>
      <c r="W174" s="21" t="n"/>
      <c r="X174" s="21" t="n"/>
      <c r="Y174" s="25">
        <f>IF($C174="","",IF(E174="XAUUSD",0.1,IF(ISNUMBER(SEARCH("JPY",E174)),0.01,0.0001)))</f>
        <v/>
      </c>
      <c r="Z174" s="18">
        <f>IF($C174="","",IF(F174="Sell",-1,1))</f>
        <v/>
      </c>
      <c r="AA174" s="18">
        <f>IF($C174="","",IF(E174="XAUUSD",100,100000))</f>
        <v/>
      </c>
      <c r="AB174" s="26">
        <f>IF(OR(K174="",L174=""),"",ABS(K174-L174)/Y174)</f>
        <v/>
      </c>
      <c r="AC174" s="26">
        <f>IF(OR(K174="",M174=""),"",ABS(M174-K174)/Y174)</f>
        <v/>
      </c>
      <c r="AD174" s="26">
        <f>IF(OR(K174="",O174=""),"",(O174-K174)*Z174/Y174)</f>
        <v/>
      </c>
      <c r="AE174" s="27">
        <f>IF(OR(AB174="",AB174=0,AC174=""),"",AC174/AB174)</f>
        <v/>
      </c>
      <c r="AF174" s="27">
        <f>IF(OR(AB174="",AB174=0,AD174=""),"",AD174/AB174)</f>
        <v/>
      </c>
      <c r="AG174" s="27">
        <f>IF(OR(C174="",P174=""),"",((P174+IF(Q174="",0,Q174))-(C174+IF(D174="",0,D174)))*24)</f>
        <v/>
      </c>
      <c r="AH174" s="18">
        <f>IF(AG174="","",INT(AG174/24)&amp;"d "&amp;INT(MOD(AG174,24))&amp;"h "&amp;INT(MOD(AG174*60,60))&amp;"m")</f>
        <v/>
      </c>
      <c r="AI174" s="28">
        <f>IF(OR(O174="",K174="",H174=""),"",IF(OR(E174="XAUUSD",RIGHT(E174,3)="USD"),(O174-K174)*Z174*AA174*H174,IF(LEFT(E174,3)="USD",IF(O174=0,"",(O174-K174)*Z174*AA174*H174/O174),AD174*10*H174)))</f>
        <v/>
      </c>
      <c r="AJ174" s="28">
        <f>IF(O174="","",IF(S174="",IF(AI174="",0,AI174),S174)-IF(R174="",0,R174))</f>
        <v/>
      </c>
      <c r="AK174" s="18">
        <f>IF(C174="","",IF(OR(O174="",P174=""),"Open",IF(ABS(AJ174)&lt;=BEThreshold,"BE",IF(AJ174&gt;0,"Win","Loss"))))</f>
        <v/>
      </c>
      <c r="AL174" s="28">
        <f>IF(OR(C174="",AK174="Open"),"",InitialCapital+SUMIFS($AJ$2:AJ174,$AK$2:AK174,"&lt;&gt;Open"))</f>
        <v/>
      </c>
      <c r="AM174" s="18">
        <f>IF(OR(C174="",AK174=""),"",IF(AK174="Open","No","Yes"))</f>
        <v/>
      </c>
    </row>
    <row r="175" ht="18" customHeight="1">
      <c r="A175" s="18">
        <f>IF(C175="","",COUNTA($C$2:C175))</f>
        <v/>
      </c>
      <c r="B175" s="18">
        <f>IF(C175="","",TEXT(C175,"dddd"))</f>
        <v/>
      </c>
      <c r="C175" s="19" t="n"/>
      <c r="D175" s="20" t="n"/>
      <c r="E175" s="21" t="n"/>
      <c r="F175" s="21" t="n"/>
      <c r="G175" s="21" t="n"/>
      <c r="H175" s="22" t="n"/>
      <c r="I175" s="23" t="n"/>
      <c r="J175" s="22" t="n"/>
      <c r="K175" s="24" t="n"/>
      <c r="L175" s="24" t="n"/>
      <c r="M175" s="24" t="n"/>
      <c r="N175" s="21" t="n"/>
      <c r="O175" s="24" t="n"/>
      <c r="P175" s="19" t="n"/>
      <c r="Q175" s="20" t="n"/>
      <c r="R175" s="23" t="n"/>
      <c r="S175" s="23" t="n"/>
      <c r="T175" s="21" t="n"/>
      <c r="U175" s="21" t="n"/>
      <c r="V175" s="21" t="n"/>
      <c r="W175" s="21" t="n"/>
      <c r="X175" s="21" t="n"/>
      <c r="Y175" s="25">
        <f>IF($C175="","",IF(E175="XAUUSD",0.1,IF(ISNUMBER(SEARCH("JPY",E175)),0.01,0.0001)))</f>
        <v/>
      </c>
      <c r="Z175" s="18">
        <f>IF($C175="","",IF(F175="Sell",-1,1))</f>
        <v/>
      </c>
      <c r="AA175" s="18">
        <f>IF($C175="","",IF(E175="XAUUSD",100,100000))</f>
        <v/>
      </c>
      <c r="AB175" s="26">
        <f>IF(OR(K175="",L175=""),"",ABS(K175-L175)/Y175)</f>
        <v/>
      </c>
      <c r="AC175" s="26">
        <f>IF(OR(K175="",M175=""),"",ABS(M175-K175)/Y175)</f>
        <v/>
      </c>
      <c r="AD175" s="26">
        <f>IF(OR(K175="",O175=""),"",(O175-K175)*Z175/Y175)</f>
        <v/>
      </c>
      <c r="AE175" s="27">
        <f>IF(OR(AB175="",AB175=0,AC175=""),"",AC175/AB175)</f>
        <v/>
      </c>
      <c r="AF175" s="27">
        <f>IF(OR(AB175="",AB175=0,AD175=""),"",AD175/AB175)</f>
        <v/>
      </c>
      <c r="AG175" s="27">
        <f>IF(OR(C175="",P175=""),"",((P175+IF(Q175="",0,Q175))-(C175+IF(D175="",0,D175)))*24)</f>
        <v/>
      </c>
      <c r="AH175" s="18">
        <f>IF(AG175="","",INT(AG175/24)&amp;"d "&amp;INT(MOD(AG175,24))&amp;"h "&amp;INT(MOD(AG175*60,60))&amp;"m")</f>
        <v/>
      </c>
      <c r="AI175" s="28">
        <f>IF(OR(O175="",K175="",H175=""),"",IF(OR(E175="XAUUSD",RIGHT(E175,3)="USD"),(O175-K175)*Z175*AA175*H175,IF(LEFT(E175,3)="USD",IF(O175=0,"",(O175-K175)*Z175*AA175*H175/O175),AD175*10*H175)))</f>
        <v/>
      </c>
      <c r="AJ175" s="28">
        <f>IF(O175="","",IF(S175="",IF(AI175="",0,AI175),S175)-IF(R175="",0,R175))</f>
        <v/>
      </c>
      <c r="AK175" s="18">
        <f>IF(C175="","",IF(OR(O175="",P175=""),"Open",IF(ABS(AJ175)&lt;=BEThreshold,"BE",IF(AJ175&gt;0,"Win","Loss"))))</f>
        <v/>
      </c>
      <c r="AL175" s="28">
        <f>IF(OR(C175="",AK175="Open"),"",InitialCapital+SUMIFS($AJ$2:AJ175,$AK$2:AK175,"&lt;&gt;Open"))</f>
        <v/>
      </c>
      <c r="AM175" s="18">
        <f>IF(OR(C175="",AK175=""),"",IF(AK175="Open","No","Yes"))</f>
        <v/>
      </c>
    </row>
    <row r="176" ht="18" customHeight="1">
      <c r="A176" s="18">
        <f>IF(C176="","",COUNTA($C$2:C176))</f>
        <v/>
      </c>
      <c r="B176" s="18">
        <f>IF(C176="","",TEXT(C176,"dddd"))</f>
        <v/>
      </c>
      <c r="C176" s="19" t="n"/>
      <c r="D176" s="20" t="n"/>
      <c r="E176" s="21" t="n"/>
      <c r="F176" s="21" t="n"/>
      <c r="G176" s="21" t="n"/>
      <c r="H176" s="22" t="n"/>
      <c r="I176" s="23" t="n"/>
      <c r="J176" s="22" t="n"/>
      <c r="K176" s="24" t="n"/>
      <c r="L176" s="24" t="n"/>
      <c r="M176" s="24" t="n"/>
      <c r="N176" s="21" t="n"/>
      <c r="O176" s="24" t="n"/>
      <c r="P176" s="19" t="n"/>
      <c r="Q176" s="20" t="n"/>
      <c r="R176" s="23" t="n"/>
      <c r="S176" s="23" t="n"/>
      <c r="T176" s="21" t="n"/>
      <c r="U176" s="21" t="n"/>
      <c r="V176" s="21" t="n"/>
      <c r="W176" s="21" t="n"/>
      <c r="X176" s="21" t="n"/>
      <c r="Y176" s="25">
        <f>IF($C176="","",IF(E176="XAUUSD",0.1,IF(ISNUMBER(SEARCH("JPY",E176)),0.01,0.0001)))</f>
        <v/>
      </c>
      <c r="Z176" s="18">
        <f>IF($C176="","",IF(F176="Sell",-1,1))</f>
        <v/>
      </c>
      <c r="AA176" s="18">
        <f>IF($C176="","",IF(E176="XAUUSD",100,100000))</f>
        <v/>
      </c>
      <c r="AB176" s="26">
        <f>IF(OR(K176="",L176=""),"",ABS(K176-L176)/Y176)</f>
        <v/>
      </c>
      <c r="AC176" s="26">
        <f>IF(OR(K176="",M176=""),"",ABS(M176-K176)/Y176)</f>
        <v/>
      </c>
      <c r="AD176" s="26">
        <f>IF(OR(K176="",O176=""),"",(O176-K176)*Z176/Y176)</f>
        <v/>
      </c>
      <c r="AE176" s="27">
        <f>IF(OR(AB176="",AB176=0,AC176=""),"",AC176/AB176)</f>
        <v/>
      </c>
      <c r="AF176" s="27">
        <f>IF(OR(AB176="",AB176=0,AD176=""),"",AD176/AB176)</f>
        <v/>
      </c>
      <c r="AG176" s="27">
        <f>IF(OR(C176="",P176=""),"",((P176+IF(Q176="",0,Q176))-(C176+IF(D176="",0,D176)))*24)</f>
        <v/>
      </c>
      <c r="AH176" s="18">
        <f>IF(AG176="","",INT(AG176/24)&amp;"d "&amp;INT(MOD(AG176,24))&amp;"h "&amp;INT(MOD(AG176*60,60))&amp;"m")</f>
        <v/>
      </c>
      <c r="AI176" s="28">
        <f>IF(OR(O176="",K176="",H176=""),"",IF(OR(E176="XAUUSD",RIGHT(E176,3)="USD"),(O176-K176)*Z176*AA176*H176,IF(LEFT(E176,3)="USD",IF(O176=0,"",(O176-K176)*Z176*AA176*H176/O176),AD176*10*H176)))</f>
        <v/>
      </c>
      <c r="AJ176" s="28">
        <f>IF(O176="","",IF(S176="",IF(AI176="",0,AI176),S176)-IF(R176="",0,R176))</f>
        <v/>
      </c>
      <c r="AK176" s="18">
        <f>IF(C176="","",IF(OR(O176="",P176=""),"Open",IF(ABS(AJ176)&lt;=BEThreshold,"BE",IF(AJ176&gt;0,"Win","Loss"))))</f>
        <v/>
      </c>
      <c r="AL176" s="28">
        <f>IF(OR(C176="",AK176="Open"),"",InitialCapital+SUMIFS($AJ$2:AJ176,$AK$2:AK176,"&lt;&gt;Open"))</f>
        <v/>
      </c>
      <c r="AM176" s="18">
        <f>IF(OR(C176="",AK176=""),"",IF(AK176="Open","No","Yes"))</f>
        <v/>
      </c>
    </row>
    <row r="177" ht="18" customHeight="1">
      <c r="A177" s="18">
        <f>IF(C177="","",COUNTA($C$2:C177))</f>
        <v/>
      </c>
      <c r="B177" s="18">
        <f>IF(C177="","",TEXT(C177,"dddd"))</f>
        <v/>
      </c>
      <c r="C177" s="19" t="n"/>
      <c r="D177" s="20" t="n"/>
      <c r="E177" s="21" t="n"/>
      <c r="F177" s="21" t="n"/>
      <c r="G177" s="21" t="n"/>
      <c r="H177" s="22" t="n"/>
      <c r="I177" s="23" t="n"/>
      <c r="J177" s="22" t="n"/>
      <c r="K177" s="24" t="n"/>
      <c r="L177" s="24" t="n"/>
      <c r="M177" s="24" t="n"/>
      <c r="N177" s="21" t="n"/>
      <c r="O177" s="24" t="n"/>
      <c r="P177" s="19" t="n"/>
      <c r="Q177" s="20" t="n"/>
      <c r="R177" s="23" t="n"/>
      <c r="S177" s="23" t="n"/>
      <c r="T177" s="21" t="n"/>
      <c r="U177" s="21" t="n"/>
      <c r="V177" s="21" t="n"/>
      <c r="W177" s="21" t="n"/>
      <c r="X177" s="21" t="n"/>
      <c r="Y177" s="25">
        <f>IF($C177="","",IF(E177="XAUUSD",0.1,IF(ISNUMBER(SEARCH("JPY",E177)),0.01,0.0001)))</f>
        <v/>
      </c>
      <c r="Z177" s="18">
        <f>IF($C177="","",IF(F177="Sell",-1,1))</f>
        <v/>
      </c>
      <c r="AA177" s="18">
        <f>IF($C177="","",IF(E177="XAUUSD",100,100000))</f>
        <v/>
      </c>
      <c r="AB177" s="26">
        <f>IF(OR(K177="",L177=""),"",ABS(K177-L177)/Y177)</f>
        <v/>
      </c>
      <c r="AC177" s="26">
        <f>IF(OR(K177="",M177=""),"",ABS(M177-K177)/Y177)</f>
        <v/>
      </c>
      <c r="AD177" s="26">
        <f>IF(OR(K177="",O177=""),"",(O177-K177)*Z177/Y177)</f>
        <v/>
      </c>
      <c r="AE177" s="27">
        <f>IF(OR(AB177="",AB177=0,AC177=""),"",AC177/AB177)</f>
        <v/>
      </c>
      <c r="AF177" s="27">
        <f>IF(OR(AB177="",AB177=0,AD177=""),"",AD177/AB177)</f>
        <v/>
      </c>
      <c r="AG177" s="27">
        <f>IF(OR(C177="",P177=""),"",((P177+IF(Q177="",0,Q177))-(C177+IF(D177="",0,D177)))*24)</f>
        <v/>
      </c>
      <c r="AH177" s="18">
        <f>IF(AG177="","",INT(AG177/24)&amp;"d "&amp;INT(MOD(AG177,24))&amp;"h "&amp;INT(MOD(AG177*60,60))&amp;"m")</f>
        <v/>
      </c>
      <c r="AI177" s="28">
        <f>IF(OR(O177="",K177="",H177=""),"",IF(OR(E177="XAUUSD",RIGHT(E177,3)="USD"),(O177-K177)*Z177*AA177*H177,IF(LEFT(E177,3)="USD",IF(O177=0,"",(O177-K177)*Z177*AA177*H177/O177),AD177*10*H177)))</f>
        <v/>
      </c>
      <c r="AJ177" s="28">
        <f>IF(O177="","",IF(S177="",IF(AI177="",0,AI177),S177)-IF(R177="",0,R177))</f>
        <v/>
      </c>
      <c r="AK177" s="18">
        <f>IF(C177="","",IF(OR(O177="",P177=""),"Open",IF(ABS(AJ177)&lt;=BEThreshold,"BE",IF(AJ177&gt;0,"Win","Loss"))))</f>
        <v/>
      </c>
      <c r="AL177" s="28">
        <f>IF(OR(C177="",AK177="Open"),"",InitialCapital+SUMIFS($AJ$2:AJ177,$AK$2:AK177,"&lt;&gt;Open"))</f>
        <v/>
      </c>
      <c r="AM177" s="18">
        <f>IF(OR(C177="",AK177=""),"",IF(AK177="Open","No","Yes"))</f>
        <v/>
      </c>
    </row>
    <row r="178" ht="18" customHeight="1">
      <c r="A178" s="18">
        <f>IF(C178="","",COUNTA($C$2:C178))</f>
        <v/>
      </c>
      <c r="B178" s="18">
        <f>IF(C178="","",TEXT(C178,"dddd"))</f>
        <v/>
      </c>
      <c r="C178" s="19" t="n"/>
      <c r="D178" s="20" t="n"/>
      <c r="E178" s="21" t="n"/>
      <c r="F178" s="21" t="n"/>
      <c r="G178" s="21" t="n"/>
      <c r="H178" s="22" t="n"/>
      <c r="I178" s="23" t="n"/>
      <c r="J178" s="22" t="n"/>
      <c r="K178" s="24" t="n"/>
      <c r="L178" s="24" t="n"/>
      <c r="M178" s="24" t="n"/>
      <c r="N178" s="21" t="n"/>
      <c r="O178" s="24" t="n"/>
      <c r="P178" s="19" t="n"/>
      <c r="Q178" s="20" t="n"/>
      <c r="R178" s="23" t="n"/>
      <c r="S178" s="23" t="n"/>
      <c r="T178" s="21" t="n"/>
      <c r="U178" s="21" t="n"/>
      <c r="V178" s="21" t="n"/>
      <c r="W178" s="21" t="n"/>
      <c r="X178" s="21" t="n"/>
      <c r="Y178" s="25">
        <f>IF($C178="","",IF(E178="XAUUSD",0.1,IF(ISNUMBER(SEARCH("JPY",E178)),0.01,0.0001)))</f>
        <v/>
      </c>
      <c r="Z178" s="18">
        <f>IF($C178="","",IF(F178="Sell",-1,1))</f>
        <v/>
      </c>
      <c r="AA178" s="18">
        <f>IF($C178="","",IF(E178="XAUUSD",100,100000))</f>
        <v/>
      </c>
      <c r="AB178" s="26">
        <f>IF(OR(K178="",L178=""),"",ABS(K178-L178)/Y178)</f>
        <v/>
      </c>
      <c r="AC178" s="26">
        <f>IF(OR(K178="",M178=""),"",ABS(M178-K178)/Y178)</f>
        <v/>
      </c>
      <c r="AD178" s="26">
        <f>IF(OR(K178="",O178=""),"",(O178-K178)*Z178/Y178)</f>
        <v/>
      </c>
      <c r="AE178" s="27">
        <f>IF(OR(AB178="",AB178=0,AC178=""),"",AC178/AB178)</f>
        <v/>
      </c>
      <c r="AF178" s="27">
        <f>IF(OR(AB178="",AB178=0,AD178=""),"",AD178/AB178)</f>
        <v/>
      </c>
      <c r="AG178" s="27">
        <f>IF(OR(C178="",P178=""),"",((P178+IF(Q178="",0,Q178))-(C178+IF(D178="",0,D178)))*24)</f>
        <v/>
      </c>
      <c r="AH178" s="18">
        <f>IF(AG178="","",INT(AG178/24)&amp;"d "&amp;INT(MOD(AG178,24))&amp;"h "&amp;INT(MOD(AG178*60,60))&amp;"m")</f>
        <v/>
      </c>
      <c r="AI178" s="28">
        <f>IF(OR(O178="",K178="",H178=""),"",IF(OR(E178="XAUUSD",RIGHT(E178,3)="USD"),(O178-K178)*Z178*AA178*H178,IF(LEFT(E178,3)="USD",IF(O178=0,"",(O178-K178)*Z178*AA178*H178/O178),AD178*10*H178)))</f>
        <v/>
      </c>
      <c r="AJ178" s="28">
        <f>IF(O178="","",IF(S178="",IF(AI178="",0,AI178),S178)-IF(R178="",0,R178))</f>
        <v/>
      </c>
      <c r="AK178" s="18">
        <f>IF(C178="","",IF(OR(O178="",P178=""),"Open",IF(ABS(AJ178)&lt;=BEThreshold,"BE",IF(AJ178&gt;0,"Win","Loss"))))</f>
        <v/>
      </c>
      <c r="AL178" s="28">
        <f>IF(OR(C178="",AK178="Open"),"",InitialCapital+SUMIFS($AJ$2:AJ178,$AK$2:AK178,"&lt;&gt;Open"))</f>
        <v/>
      </c>
      <c r="AM178" s="18">
        <f>IF(OR(C178="",AK178=""),"",IF(AK178="Open","No","Yes"))</f>
        <v/>
      </c>
    </row>
    <row r="179" ht="18" customHeight="1">
      <c r="A179" s="18">
        <f>IF(C179="","",COUNTA($C$2:C179))</f>
        <v/>
      </c>
      <c r="B179" s="18">
        <f>IF(C179="","",TEXT(C179,"dddd"))</f>
        <v/>
      </c>
      <c r="C179" s="19" t="n"/>
      <c r="D179" s="20" t="n"/>
      <c r="E179" s="21" t="n"/>
      <c r="F179" s="21" t="n"/>
      <c r="G179" s="21" t="n"/>
      <c r="H179" s="22" t="n"/>
      <c r="I179" s="23" t="n"/>
      <c r="J179" s="22" t="n"/>
      <c r="K179" s="24" t="n"/>
      <c r="L179" s="24" t="n"/>
      <c r="M179" s="24" t="n"/>
      <c r="N179" s="21" t="n"/>
      <c r="O179" s="24" t="n"/>
      <c r="P179" s="19" t="n"/>
      <c r="Q179" s="20" t="n"/>
      <c r="R179" s="23" t="n"/>
      <c r="S179" s="23" t="n"/>
      <c r="T179" s="21" t="n"/>
      <c r="U179" s="21" t="n"/>
      <c r="V179" s="21" t="n"/>
      <c r="W179" s="21" t="n"/>
      <c r="X179" s="21" t="n"/>
      <c r="Y179" s="25">
        <f>IF($C179="","",IF(E179="XAUUSD",0.1,IF(ISNUMBER(SEARCH("JPY",E179)),0.01,0.0001)))</f>
        <v/>
      </c>
      <c r="Z179" s="18">
        <f>IF($C179="","",IF(F179="Sell",-1,1))</f>
        <v/>
      </c>
      <c r="AA179" s="18">
        <f>IF($C179="","",IF(E179="XAUUSD",100,100000))</f>
        <v/>
      </c>
      <c r="AB179" s="26">
        <f>IF(OR(K179="",L179=""),"",ABS(K179-L179)/Y179)</f>
        <v/>
      </c>
      <c r="AC179" s="26">
        <f>IF(OR(K179="",M179=""),"",ABS(M179-K179)/Y179)</f>
        <v/>
      </c>
      <c r="AD179" s="26">
        <f>IF(OR(K179="",O179=""),"",(O179-K179)*Z179/Y179)</f>
        <v/>
      </c>
      <c r="AE179" s="27">
        <f>IF(OR(AB179="",AB179=0,AC179=""),"",AC179/AB179)</f>
        <v/>
      </c>
      <c r="AF179" s="27">
        <f>IF(OR(AB179="",AB179=0,AD179=""),"",AD179/AB179)</f>
        <v/>
      </c>
      <c r="AG179" s="27">
        <f>IF(OR(C179="",P179=""),"",((P179+IF(Q179="",0,Q179))-(C179+IF(D179="",0,D179)))*24)</f>
        <v/>
      </c>
      <c r="AH179" s="18">
        <f>IF(AG179="","",INT(AG179/24)&amp;"d "&amp;INT(MOD(AG179,24))&amp;"h "&amp;INT(MOD(AG179*60,60))&amp;"m")</f>
        <v/>
      </c>
      <c r="AI179" s="28">
        <f>IF(OR(O179="",K179="",H179=""),"",IF(OR(E179="XAUUSD",RIGHT(E179,3)="USD"),(O179-K179)*Z179*AA179*H179,IF(LEFT(E179,3)="USD",IF(O179=0,"",(O179-K179)*Z179*AA179*H179/O179),AD179*10*H179)))</f>
        <v/>
      </c>
      <c r="AJ179" s="28">
        <f>IF(O179="","",IF(S179="",IF(AI179="",0,AI179),S179)-IF(R179="",0,R179))</f>
        <v/>
      </c>
      <c r="AK179" s="18">
        <f>IF(C179="","",IF(OR(O179="",P179=""),"Open",IF(ABS(AJ179)&lt;=BEThreshold,"BE",IF(AJ179&gt;0,"Win","Loss"))))</f>
        <v/>
      </c>
      <c r="AL179" s="28">
        <f>IF(OR(C179="",AK179="Open"),"",InitialCapital+SUMIFS($AJ$2:AJ179,$AK$2:AK179,"&lt;&gt;Open"))</f>
        <v/>
      </c>
      <c r="AM179" s="18">
        <f>IF(OR(C179="",AK179=""),"",IF(AK179="Open","No","Yes"))</f>
        <v/>
      </c>
    </row>
    <row r="180" ht="18" customHeight="1">
      <c r="A180" s="18">
        <f>IF(C180="","",COUNTA($C$2:C180))</f>
        <v/>
      </c>
      <c r="B180" s="18">
        <f>IF(C180="","",TEXT(C180,"dddd"))</f>
        <v/>
      </c>
      <c r="C180" s="19" t="n"/>
      <c r="D180" s="20" t="n"/>
      <c r="E180" s="21" t="n"/>
      <c r="F180" s="21" t="n"/>
      <c r="G180" s="21" t="n"/>
      <c r="H180" s="22" t="n"/>
      <c r="I180" s="23" t="n"/>
      <c r="J180" s="22" t="n"/>
      <c r="K180" s="24" t="n"/>
      <c r="L180" s="24" t="n"/>
      <c r="M180" s="24" t="n"/>
      <c r="N180" s="21" t="n"/>
      <c r="O180" s="24" t="n"/>
      <c r="P180" s="19" t="n"/>
      <c r="Q180" s="20" t="n"/>
      <c r="R180" s="23" t="n"/>
      <c r="S180" s="23" t="n"/>
      <c r="T180" s="21" t="n"/>
      <c r="U180" s="21" t="n"/>
      <c r="V180" s="21" t="n"/>
      <c r="W180" s="21" t="n"/>
      <c r="X180" s="21" t="n"/>
      <c r="Y180" s="25">
        <f>IF($C180="","",IF(E180="XAUUSD",0.1,IF(ISNUMBER(SEARCH("JPY",E180)),0.01,0.0001)))</f>
        <v/>
      </c>
      <c r="Z180" s="18">
        <f>IF($C180="","",IF(F180="Sell",-1,1))</f>
        <v/>
      </c>
      <c r="AA180" s="18">
        <f>IF($C180="","",IF(E180="XAUUSD",100,100000))</f>
        <v/>
      </c>
      <c r="AB180" s="26">
        <f>IF(OR(K180="",L180=""),"",ABS(K180-L180)/Y180)</f>
        <v/>
      </c>
      <c r="AC180" s="26">
        <f>IF(OR(K180="",M180=""),"",ABS(M180-K180)/Y180)</f>
        <v/>
      </c>
      <c r="AD180" s="26">
        <f>IF(OR(K180="",O180=""),"",(O180-K180)*Z180/Y180)</f>
        <v/>
      </c>
      <c r="AE180" s="27">
        <f>IF(OR(AB180="",AB180=0,AC180=""),"",AC180/AB180)</f>
        <v/>
      </c>
      <c r="AF180" s="27">
        <f>IF(OR(AB180="",AB180=0,AD180=""),"",AD180/AB180)</f>
        <v/>
      </c>
      <c r="AG180" s="27">
        <f>IF(OR(C180="",P180=""),"",((P180+IF(Q180="",0,Q180))-(C180+IF(D180="",0,D180)))*24)</f>
        <v/>
      </c>
      <c r="AH180" s="18">
        <f>IF(AG180="","",INT(AG180/24)&amp;"d "&amp;INT(MOD(AG180,24))&amp;"h "&amp;INT(MOD(AG180*60,60))&amp;"m")</f>
        <v/>
      </c>
      <c r="AI180" s="28">
        <f>IF(OR(O180="",K180="",H180=""),"",IF(OR(E180="XAUUSD",RIGHT(E180,3)="USD"),(O180-K180)*Z180*AA180*H180,IF(LEFT(E180,3)="USD",IF(O180=0,"",(O180-K180)*Z180*AA180*H180/O180),AD180*10*H180)))</f>
        <v/>
      </c>
      <c r="AJ180" s="28">
        <f>IF(O180="","",IF(S180="",IF(AI180="",0,AI180),S180)-IF(R180="",0,R180))</f>
        <v/>
      </c>
      <c r="AK180" s="18">
        <f>IF(C180="","",IF(OR(O180="",P180=""),"Open",IF(ABS(AJ180)&lt;=BEThreshold,"BE",IF(AJ180&gt;0,"Win","Loss"))))</f>
        <v/>
      </c>
      <c r="AL180" s="28">
        <f>IF(OR(C180="",AK180="Open"),"",InitialCapital+SUMIFS($AJ$2:AJ180,$AK$2:AK180,"&lt;&gt;Open"))</f>
        <v/>
      </c>
      <c r="AM180" s="18">
        <f>IF(OR(C180="",AK180=""),"",IF(AK180="Open","No","Yes"))</f>
        <v/>
      </c>
    </row>
    <row r="181" ht="18" customHeight="1">
      <c r="A181" s="18">
        <f>IF(C181="","",COUNTA($C$2:C181))</f>
        <v/>
      </c>
      <c r="B181" s="18">
        <f>IF(C181="","",TEXT(C181,"dddd"))</f>
        <v/>
      </c>
      <c r="C181" s="19" t="n"/>
      <c r="D181" s="20" t="n"/>
      <c r="E181" s="21" t="n"/>
      <c r="F181" s="21" t="n"/>
      <c r="G181" s="21" t="n"/>
      <c r="H181" s="22" t="n"/>
      <c r="I181" s="23" t="n"/>
      <c r="J181" s="22" t="n"/>
      <c r="K181" s="24" t="n"/>
      <c r="L181" s="24" t="n"/>
      <c r="M181" s="24" t="n"/>
      <c r="N181" s="21" t="n"/>
      <c r="O181" s="24" t="n"/>
      <c r="P181" s="19" t="n"/>
      <c r="Q181" s="20" t="n"/>
      <c r="R181" s="23" t="n"/>
      <c r="S181" s="23" t="n"/>
      <c r="T181" s="21" t="n"/>
      <c r="U181" s="21" t="n"/>
      <c r="V181" s="21" t="n"/>
      <c r="W181" s="21" t="n"/>
      <c r="X181" s="21" t="n"/>
      <c r="Y181" s="25">
        <f>IF($C181="","",IF(E181="XAUUSD",0.1,IF(ISNUMBER(SEARCH("JPY",E181)),0.01,0.0001)))</f>
        <v/>
      </c>
      <c r="Z181" s="18">
        <f>IF($C181="","",IF(F181="Sell",-1,1))</f>
        <v/>
      </c>
      <c r="AA181" s="18">
        <f>IF($C181="","",IF(E181="XAUUSD",100,100000))</f>
        <v/>
      </c>
      <c r="AB181" s="26">
        <f>IF(OR(K181="",L181=""),"",ABS(K181-L181)/Y181)</f>
        <v/>
      </c>
      <c r="AC181" s="26">
        <f>IF(OR(K181="",M181=""),"",ABS(M181-K181)/Y181)</f>
        <v/>
      </c>
      <c r="AD181" s="26">
        <f>IF(OR(K181="",O181=""),"",(O181-K181)*Z181/Y181)</f>
        <v/>
      </c>
      <c r="AE181" s="27">
        <f>IF(OR(AB181="",AB181=0,AC181=""),"",AC181/AB181)</f>
        <v/>
      </c>
      <c r="AF181" s="27">
        <f>IF(OR(AB181="",AB181=0,AD181=""),"",AD181/AB181)</f>
        <v/>
      </c>
      <c r="AG181" s="27">
        <f>IF(OR(C181="",P181=""),"",((P181+IF(Q181="",0,Q181))-(C181+IF(D181="",0,D181)))*24)</f>
        <v/>
      </c>
      <c r="AH181" s="18">
        <f>IF(AG181="","",INT(AG181/24)&amp;"d "&amp;INT(MOD(AG181,24))&amp;"h "&amp;INT(MOD(AG181*60,60))&amp;"m")</f>
        <v/>
      </c>
      <c r="AI181" s="28">
        <f>IF(OR(O181="",K181="",H181=""),"",IF(OR(E181="XAUUSD",RIGHT(E181,3)="USD"),(O181-K181)*Z181*AA181*H181,IF(LEFT(E181,3)="USD",IF(O181=0,"",(O181-K181)*Z181*AA181*H181/O181),AD181*10*H181)))</f>
        <v/>
      </c>
      <c r="AJ181" s="28">
        <f>IF(O181="","",IF(S181="",IF(AI181="",0,AI181),S181)-IF(R181="",0,R181))</f>
        <v/>
      </c>
      <c r="AK181" s="18">
        <f>IF(C181="","",IF(OR(O181="",P181=""),"Open",IF(ABS(AJ181)&lt;=BEThreshold,"BE",IF(AJ181&gt;0,"Win","Loss"))))</f>
        <v/>
      </c>
      <c r="AL181" s="28">
        <f>IF(OR(C181="",AK181="Open"),"",InitialCapital+SUMIFS($AJ$2:AJ181,$AK$2:AK181,"&lt;&gt;Open"))</f>
        <v/>
      </c>
      <c r="AM181" s="18">
        <f>IF(OR(C181="",AK181=""),"",IF(AK181="Open","No","Yes"))</f>
        <v/>
      </c>
    </row>
    <row r="182" ht="18" customHeight="1">
      <c r="A182" s="18">
        <f>IF(C182="","",COUNTA($C$2:C182))</f>
        <v/>
      </c>
      <c r="B182" s="18">
        <f>IF(C182="","",TEXT(C182,"dddd"))</f>
        <v/>
      </c>
      <c r="C182" s="19" t="n"/>
      <c r="D182" s="20" t="n"/>
      <c r="E182" s="21" t="n"/>
      <c r="F182" s="21" t="n"/>
      <c r="G182" s="21" t="n"/>
      <c r="H182" s="22" t="n"/>
      <c r="I182" s="23" t="n"/>
      <c r="J182" s="22" t="n"/>
      <c r="K182" s="24" t="n"/>
      <c r="L182" s="24" t="n"/>
      <c r="M182" s="24" t="n"/>
      <c r="N182" s="21" t="n"/>
      <c r="O182" s="24" t="n"/>
      <c r="P182" s="19" t="n"/>
      <c r="Q182" s="20" t="n"/>
      <c r="R182" s="23" t="n"/>
      <c r="S182" s="23" t="n"/>
      <c r="T182" s="21" t="n"/>
      <c r="U182" s="21" t="n"/>
      <c r="V182" s="21" t="n"/>
      <c r="W182" s="21" t="n"/>
      <c r="X182" s="21" t="n"/>
      <c r="Y182" s="25">
        <f>IF($C182="","",IF(E182="XAUUSD",0.1,IF(ISNUMBER(SEARCH("JPY",E182)),0.01,0.0001)))</f>
        <v/>
      </c>
      <c r="Z182" s="18">
        <f>IF($C182="","",IF(F182="Sell",-1,1))</f>
        <v/>
      </c>
      <c r="AA182" s="18">
        <f>IF($C182="","",IF(E182="XAUUSD",100,100000))</f>
        <v/>
      </c>
      <c r="AB182" s="26">
        <f>IF(OR(K182="",L182=""),"",ABS(K182-L182)/Y182)</f>
        <v/>
      </c>
      <c r="AC182" s="26">
        <f>IF(OR(K182="",M182=""),"",ABS(M182-K182)/Y182)</f>
        <v/>
      </c>
      <c r="AD182" s="26">
        <f>IF(OR(K182="",O182=""),"",(O182-K182)*Z182/Y182)</f>
        <v/>
      </c>
      <c r="AE182" s="27">
        <f>IF(OR(AB182="",AB182=0,AC182=""),"",AC182/AB182)</f>
        <v/>
      </c>
      <c r="AF182" s="27">
        <f>IF(OR(AB182="",AB182=0,AD182=""),"",AD182/AB182)</f>
        <v/>
      </c>
      <c r="AG182" s="27">
        <f>IF(OR(C182="",P182=""),"",((P182+IF(Q182="",0,Q182))-(C182+IF(D182="",0,D182)))*24)</f>
        <v/>
      </c>
      <c r="AH182" s="18">
        <f>IF(AG182="","",INT(AG182/24)&amp;"d "&amp;INT(MOD(AG182,24))&amp;"h "&amp;INT(MOD(AG182*60,60))&amp;"m")</f>
        <v/>
      </c>
      <c r="AI182" s="28">
        <f>IF(OR(O182="",K182="",H182=""),"",IF(OR(E182="XAUUSD",RIGHT(E182,3)="USD"),(O182-K182)*Z182*AA182*H182,IF(LEFT(E182,3)="USD",IF(O182=0,"",(O182-K182)*Z182*AA182*H182/O182),AD182*10*H182)))</f>
        <v/>
      </c>
      <c r="AJ182" s="28">
        <f>IF(O182="","",IF(S182="",IF(AI182="",0,AI182),S182)-IF(R182="",0,R182))</f>
        <v/>
      </c>
      <c r="AK182" s="18">
        <f>IF(C182="","",IF(OR(O182="",P182=""),"Open",IF(ABS(AJ182)&lt;=BEThreshold,"BE",IF(AJ182&gt;0,"Win","Loss"))))</f>
        <v/>
      </c>
      <c r="AL182" s="28">
        <f>IF(OR(C182="",AK182="Open"),"",InitialCapital+SUMIFS($AJ$2:AJ182,$AK$2:AK182,"&lt;&gt;Open"))</f>
        <v/>
      </c>
      <c r="AM182" s="18">
        <f>IF(OR(C182="",AK182=""),"",IF(AK182="Open","No","Yes"))</f>
        <v/>
      </c>
    </row>
    <row r="183" ht="18" customHeight="1">
      <c r="A183" s="18">
        <f>IF(C183="","",COUNTA($C$2:C183))</f>
        <v/>
      </c>
      <c r="B183" s="18">
        <f>IF(C183="","",TEXT(C183,"dddd"))</f>
        <v/>
      </c>
      <c r="C183" s="19" t="n"/>
      <c r="D183" s="20" t="n"/>
      <c r="E183" s="21" t="n"/>
      <c r="F183" s="21" t="n"/>
      <c r="G183" s="21" t="n"/>
      <c r="H183" s="22" t="n"/>
      <c r="I183" s="23" t="n"/>
      <c r="J183" s="22" t="n"/>
      <c r="K183" s="24" t="n"/>
      <c r="L183" s="24" t="n"/>
      <c r="M183" s="24" t="n"/>
      <c r="N183" s="21" t="n"/>
      <c r="O183" s="24" t="n"/>
      <c r="P183" s="19" t="n"/>
      <c r="Q183" s="20" t="n"/>
      <c r="R183" s="23" t="n"/>
      <c r="S183" s="23" t="n"/>
      <c r="T183" s="21" t="n"/>
      <c r="U183" s="21" t="n"/>
      <c r="V183" s="21" t="n"/>
      <c r="W183" s="21" t="n"/>
      <c r="X183" s="21" t="n"/>
      <c r="Y183" s="25">
        <f>IF($C183="","",IF(E183="XAUUSD",0.1,IF(ISNUMBER(SEARCH("JPY",E183)),0.01,0.0001)))</f>
        <v/>
      </c>
      <c r="Z183" s="18">
        <f>IF($C183="","",IF(F183="Sell",-1,1))</f>
        <v/>
      </c>
      <c r="AA183" s="18">
        <f>IF($C183="","",IF(E183="XAUUSD",100,100000))</f>
        <v/>
      </c>
      <c r="AB183" s="26">
        <f>IF(OR(K183="",L183=""),"",ABS(K183-L183)/Y183)</f>
        <v/>
      </c>
      <c r="AC183" s="26">
        <f>IF(OR(K183="",M183=""),"",ABS(M183-K183)/Y183)</f>
        <v/>
      </c>
      <c r="AD183" s="26">
        <f>IF(OR(K183="",O183=""),"",(O183-K183)*Z183/Y183)</f>
        <v/>
      </c>
      <c r="AE183" s="27">
        <f>IF(OR(AB183="",AB183=0,AC183=""),"",AC183/AB183)</f>
        <v/>
      </c>
      <c r="AF183" s="27">
        <f>IF(OR(AB183="",AB183=0,AD183=""),"",AD183/AB183)</f>
        <v/>
      </c>
      <c r="AG183" s="27">
        <f>IF(OR(C183="",P183=""),"",((P183+IF(Q183="",0,Q183))-(C183+IF(D183="",0,D183)))*24)</f>
        <v/>
      </c>
      <c r="AH183" s="18">
        <f>IF(AG183="","",INT(AG183/24)&amp;"d "&amp;INT(MOD(AG183,24))&amp;"h "&amp;INT(MOD(AG183*60,60))&amp;"m")</f>
        <v/>
      </c>
      <c r="AI183" s="28">
        <f>IF(OR(O183="",K183="",H183=""),"",IF(OR(E183="XAUUSD",RIGHT(E183,3)="USD"),(O183-K183)*Z183*AA183*H183,IF(LEFT(E183,3)="USD",IF(O183=0,"",(O183-K183)*Z183*AA183*H183/O183),AD183*10*H183)))</f>
        <v/>
      </c>
      <c r="AJ183" s="28">
        <f>IF(O183="","",IF(S183="",IF(AI183="",0,AI183),S183)-IF(R183="",0,R183))</f>
        <v/>
      </c>
      <c r="AK183" s="18">
        <f>IF(C183="","",IF(OR(O183="",P183=""),"Open",IF(ABS(AJ183)&lt;=BEThreshold,"BE",IF(AJ183&gt;0,"Win","Loss"))))</f>
        <v/>
      </c>
      <c r="AL183" s="28">
        <f>IF(OR(C183="",AK183="Open"),"",InitialCapital+SUMIFS($AJ$2:AJ183,$AK$2:AK183,"&lt;&gt;Open"))</f>
        <v/>
      </c>
      <c r="AM183" s="18">
        <f>IF(OR(C183="",AK183=""),"",IF(AK183="Open","No","Yes"))</f>
        <v/>
      </c>
    </row>
    <row r="184" ht="18" customHeight="1">
      <c r="A184" s="18">
        <f>IF(C184="","",COUNTA($C$2:C184))</f>
        <v/>
      </c>
      <c r="B184" s="18">
        <f>IF(C184="","",TEXT(C184,"dddd"))</f>
        <v/>
      </c>
      <c r="C184" s="19" t="n"/>
      <c r="D184" s="20" t="n"/>
      <c r="E184" s="21" t="n"/>
      <c r="F184" s="21" t="n"/>
      <c r="G184" s="21" t="n"/>
      <c r="H184" s="22" t="n"/>
      <c r="I184" s="23" t="n"/>
      <c r="J184" s="22" t="n"/>
      <c r="K184" s="24" t="n"/>
      <c r="L184" s="24" t="n"/>
      <c r="M184" s="24" t="n"/>
      <c r="N184" s="21" t="n"/>
      <c r="O184" s="24" t="n"/>
      <c r="P184" s="19" t="n"/>
      <c r="Q184" s="20" t="n"/>
      <c r="R184" s="23" t="n"/>
      <c r="S184" s="23" t="n"/>
      <c r="T184" s="21" t="n"/>
      <c r="U184" s="21" t="n"/>
      <c r="V184" s="21" t="n"/>
      <c r="W184" s="21" t="n"/>
      <c r="X184" s="21" t="n"/>
      <c r="Y184" s="25">
        <f>IF($C184="","",IF(E184="XAUUSD",0.1,IF(ISNUMBER(SEARCH("JPY",E184)),0.01,0.0001)))</f>
        <v/>
      </c>
      <c r="Z184" s="18">
        <f>IF($C184="","",IF(F184="Sell",-1,1))</f>
        <v/>
      </c>
      <c r="AA184" s="18">
        <f>IF($C184="","",IF(E184="XAUUSD",100,100000))</f>
        <v/>
      </c>
      <c r="AB184" s="26">
        <f>IF(OR(K184="",L184=""),"",ABS(K184-L184)/Y184)</f>
        <v/>
      </c>
      <c r="AC184" s="26">
        <f>IF(OR(K184="",M184=""),"",ABS(M184-K184)/Y184)</f>
        <v/>
      </c>
      <c r="AD184" s="26">
        <f>IF(OR(K184="",O184=""),"",(O184-K184)*Z184/Y184)</f>
        <v/>
      </c>
      <c r="AE184" s="27">
        <f>IF(OR(AB184="",AB184=0,AC184=""),"",AC184/AB184)</f>
        <v/>
      </c>
      <c r="AF184" s="27">
        <f>IF(OR(AB184="",AB184=0,AD184=""),"",AD184/AB184)</f>
        <v/>
      </c>
      <c r="AG184" s="27">
        <f>IF(OR(C184="",P184=""),"",((P184+IF(Q184="",0,Q184))-(C184+IF(D184="",0,D184)))*24)</f>
        <v/>
      </c>
      <c r="AH184" s="18">
        <f>IF(AG184="","",INT(AG184/24)&amp;"d "&amp;INT(MOD(AG184,24))&amp;"h "&amp;INT(MOD(AG184*60,60))&amp;"m")</f>
        <v/>
      </c>
      <c r="AI184" s="28">
        <f>IF(OR(O184="",K184="",H184=""),"",IF(OR(E184="XAUUSD",RIGHT(E184,3)="USD"),(O184-K184)*Z184*AA184*H184,IF(LEFT(E184,3)="USD",IF(O184=0,"",(O184-K184)*Z184*AA184*H184/O184),AD184*10*H184)))</f>
        <v/>
      </c>
      <c r="AJ184" s="28">
        <f>IF(O184="","",IF(S184="",IF(AI184="",0,AI184),S184)-IF(R184="",0,R184))</f>
        <v/>
      </c>
      <c r="AK184" s="18">
        <f>IF(C184="","",IF(OR(O184="",P184=""),"Open",IF(ABS(AJ184)&lt;=BEThreshold,"BE",IF(AJ184&gt;0,"Win","Loss"))))</f>
        <v/>
      </c>
      <c r="AL184" s="28">
        <f>IF(OR(C184="",AK184="Open"),"",InitialCapital+SUMIFS($AJ$2:AJ184,$AK$2:AK184,"&lt;&gt;Open"))</f>
        <v/>
      </c>
      <c r="AM184" s="18">
        <f>IF(OR(C184="",AK184=""),"",IF(AK184="Open","No","Yes"))</f>
        <v/>
      </c>
    </row>
    <row r="185" ht="18" customHeight="1">
      <c r="A185" s="18">
        <f>IF(C185="","",COUNTA($C$2:C185))</f>
        <v/>
      </c>
      <c r="B185" s="18">
        <f>IF(C185="","",TEXT(C185,"dddd"))</f>
        <v/>
      </c>
      <c r="C185" s="19" t="n"/>
      <c r="D185" s="20" t="n"/>
      <c r="E185" s="21" t="n"/>
      <c r="F185" s="21" t="n"/>
      <c r="G185" s="21" t="n"/>
      <c r="H185" s="22" t="n"/>
      <c r="I185" s="23" t="n"/>
      <c r="J185" s="22" t="n"/>
      <c r="K185" s="24" t="n"/>
      <c r="L185" s="24" t="n"/>
      <c r="M185" s="24" t="n"/>
      <c r="N185" s="21" t="n"/>
      <c r="O185" s="24" t="n"/>
      <c r="P185" s="19" t="n"/>
      <c r="Q185" s="20" t="n"/>
      <c r="R185" s="23" t="n"/>
      <c r="S185" s="23" t="n"/>
      <c r="T185" s="21" t="n"/>
      <c r="U185" s="21" t="n"/>
      <c r="V185" s="21" t="n"/>
      <c r="W185" s="21" t="n"/>
      <c r="X185" s="21" t="n"/>
      <c r="Y185" s="25">
        <f>IF($C185="","",IF(E185="XAUUSD",0.1,IF(ISNUMBER(SEARCH("JPY",E185)),0.01,0.0001)))</f>
        <v/>
      </c>
      <c r="Z185" s="18">
        <f>IF($C185="","",IF(F185="Sell",-1,1))</f>
        <v/>
      </c>
      <c r="AA185" s="18">
        <f>IF($C185="","",IF(E185="XAUUSD",100,100000))</f>
        <v/>
      </c>
      <c r="AB185" s="26">
        <f>IF(OR(K185="",L185=""),"",ABS(K185-L185)/Y185)</f>
        <v/>
      </c>
      <c r="AC185" s="26">
        <f>IF(OR(K185="",M185=""),"",ABS(M185-K185)/Y185)</f>
        <v/>
      </c>
      <c r="AD185" s="26">
        <f>IF(OR(K185="",O185=""),"",(O185-K185)*Z185/Y185)</f>
        <v/>
      </c>
      <c r="AE185" s="27">
        <f>IF(OR(AB185="",AB185=0,AC185=""),"",AC185/AB185)</f>
        <v/>
      </c>
      <c r="AF185" s="27">
        <f>IF(OR(AB185="",AB185=0,AD185=""),"",AD185/AB185)</f>
        <v/>
      </c>
      <c r="AG185" s="27">
        <f>IF(OR(C185="",P185=""),"",((P185+IF(Q185="",0,Q185))-(C185+IF(D185="",0,D185)))*24)</f>
        <v/>
      </c>
      <c r="AH185" s="18">
        <f>IF(AG185="","",INT(AG185/24)&amp;"d "&amp;INT(MOD(AG185,24))&amp;"h "&amp;INT(MOD(AG185*60,60))&amp;"m")</f>
        <v/>
      </c>
      <c r="AI185" s="28">
        <f>IF(OR(O185="",K185="",H185=""),"",IF(OR(E185="XAUUSD",RIGHT(E185,3)="USD"),(O185-K185)*Z185*AA185*H185,IF(LEFT(E185,3)="USD",IF(O185=0,"",(O185-K185)*Z185*AA185*H185/O185),AD185*10*H185)))</f>
        <v/>
      </c>
      <c r="AJ185" s="28">
        <f>IF(O185="","",IF(S185="",IF(AI185="",0,AI185),S185)-IF(R185="",0,R185))</f>
        <v/>
      </c>
      <c r="AK185" s="18">
        <f>IF(C185="","",IF(OR(O185="",P185=""),"Open",IF(ABS(AJ185)&lt;=BEThreshold,"BE",IF(AJ185&gt;0,"Win","Loss"))))</f>
        <v/>
      </c>
      <c r="AL185" s="28">
        <f>IF(OR(C185="",AK185="Open"),"",InitialCapital+SUMIFS($AJ$2:AJ185,$AK$2:AK185,"&lt;&gt;Open"))</f>
        <v/>
      </c>
      <c r="AM185" s="18">
        <f>IF(OR(C185="",AK185=""),"",IF(AK185="Open","No","Yes"))</f>
        <v/>
      </c>
    </row>
    <row r="186" ht="18" customHeight="1">
      <c r="A186" s="18">
        <f>IF(C186="","",COUNTA($C$2:C186))</f>
        <v/>
      </c>
      <c r="B186" s="18">
        <f>IF(C186="","",TEXT(C186,"dddd"))</f>
        <v/>
      </c>
      <c r="C186" s="19" t="n"/>
      <c r="D186" s="20" t="n"/>
      <c r="E186" s="21" t="n"/>
      <c r="F186" s="21" t="n"/>
      <c r="G186" s="21" t="n"/>
      <c r="H186" s="22" t="n"/>
      <c r="I186" s="23" t="n"/>
      <c r="J186" s="22" t="n"/>
      <c r="K186" s="24" t="n"/>
      <c r="L186" s="24" t="n"/>
      <c r="M186" s="24" t="n"/>
      <c r="N186" s="21" t="n"/>
      <c r="O186" s="24" t="n"/>
      <c r="P186" s="19" t="n"/>
      <c r="Q186" s="20" t="n"/>
      <c r="R186" s="23" t="n"/>
      <c r="S186" s="23" t="n"/>
      <c r="T186" s="21" t="n"/>
      <c r="U186" s="21" t="n"/>
      <c r="V186" s="21" t="n"/>
      <c r="W186" s="21" t="n"/>
      <c r="X186" s="21" t="n"/>
      <c r="Y186" s="25">
        <f>IF($C186="","",IF(E186="XAUUSD",0.1,IF(ISNUMBER(SEARCH("JPY",E186)),0.01,0.0001)))</f>
        <v/>
      </c>
      <c r="Z186" s="18">
        <f>IF($C186="","",IF(F186="Sell",-1,1))</f>
        <v/>
      </c>
      <c r="AA186" s="18">
        <f>IF($C186="","",IF(E186="XAUUSD",100,100000))</f>
        <v/>
      </c>
      <c r="AB186" s="26">
        <f>IF(OR(K186="",L186=""),"",ABS(K186-L186)/Y186)</f>
        <v/>
      </c>
      <c r="AC186" s="26">
        <f>IF(OR(K186="",M186=""),"",ABS(M186-K186)/Y186)</f>
        <v/>
      </c>
      <c r="AD186" s="26">
        <f>IF(OR(K186="",O186=""),"",(O186-K186)*Z186/Y186)</f>
        <v/>
      </c>
      <c r="AE186" s="27">
        <f>IF(OR(AB186="",AB186=0,AC186=""),"",AC186/AB186)</f>
        <v/>
      </c>
      <c r="AF186" s="27">
        <f>IF(OR(AB186="",AB186=0,AD186=""),"",AD186/AB186)</f>
        <v/>
      </c>
      <c r="AG186" s="27">
        <f>IF(OR(C186="",P186=""),"",((P186+IF(Q186="",0,Q186))-(C186+IF(D186="",0,D186)))*24)</f>
        <v/>
      </c>
      <c r="AH186" s="18">
        <f>IF(AG186="","",INT(AG186/24)&amp;"d "&amp;INT(MOD(AG186,24))&amp;"h "&amp;INT(MOD(AG186*60,60))&amp;"m")</f>
        <v/>
      </c>
      <c r="AI186" s="28">
        <f>IF(OR(O186="",K186="",H186=""),"",IF(OR(E186="XAUUSD",RIGHT(E186,3)="USD"),(O186-K186)*Z186*AA186*H186,IF(LEFT(E186,3)="USD",IF(O186=0,"",(O186-K186)*Z186*AA186*H186/O186),AD186*10*H186)))</f>
        <v/>
      </c>
      <c r="AJ186" s="28">
        <f>IF(O186="","",IF(S186="",IF(AI186="",0,AI186),S186)-IF(R186="",0,R186))</f>
        <v/>
      </c>
      <c r="AK186" s="18">
        <f>IF(C186="","",IF(OR(O186="",P186=""),"Open",IF(ABS(AJ186)&lt;=BEThreshold,"BE",IF(AJ186&gt;0,"Win","Loss"))))</f>
        <v/>
      </c>
      <c r="AL186" s="28">
        <f>IF(OR(C186="",AK186="Open"),"",InitialCapital+SUMIFS($AJ$2:AJ186,$AK$2:AK186,"&lt;&gt;Open"))</f>
        <v/>
      </c>
      <c r="AM186" s="18">
        <f>IF(OR(C186="",AK186=""),"",IF(AK186="Open","No","Yes"))</f>
        <v/>
      </c>
    </row>
    <row r="187" ht="18" customHeight="1">
      <c r="A187" s="18">
        <f>IF(C187="","",COUNTA($C$2:C187))</f>
        <v/>
      </c>
      <c r="B187" s="18">
        <f>IF(C187="","",TEXT(C187,"dddd"))</f>
        <v/>
      </c>
      <c r="C187" s="19" t="n"/>
      <c r="D187" s="20" t="n"/>
      <c r="E187" s="21" t="n"/>
      <c r="F187" s="21" t="n"/>
      <c r="G187" s="21" t="n"/>
      <c r="H187" s="22" t="n"/>
      <c r="I187" s="23" t="n"/>
      <c r="J187" s="22" t="n"/>
      <c r="K187" s="24" t="n"/>
      <c r="L187" s="24" t="n"/>
      <c r="M187" s="24" t="n"/>
      <c r="N187" s="21" t="n"/>
      <c r="O187" s="24" t="n"/>
      <c r="P187" s="19" t="n"/>
      <c r="Q187" s="20" t="n"/>
      <c r="R187" s="23" t="n"/>
      <c r="S187" s="23" t="n"/>
      <c r="T187" s="21" t="n"/>
      <c r="U187" s="21" t="n"/>
      <c r="V187" s="21" t="n"/>
      <c r="W187" s="21" t="n"/>
      <c r="X187" s="21" t="n"/>
      <c r="Y187" s="25">
        <f>IF($C187="","",IF(E187="XAUUSD",0.1,IF(ISNUMBER(SEARCH("JPY",E187)),0.01,0.0001)))</f>
        <v/>
      </c>
      <c r="Z187" s="18">
        <f>IF($C187="","",IF(F187="Sell",-1,1))</f>
        <v/>
      </c>
      <c r="AA187" s="18">
        <f>IF($C187="","",IF(E187="XAUUSD",100,100000))</f>
        <v/>
      </c>
      <c r="AB187" s="26">
        <f>IF(OR(K187="",L187=""),"",ABS(K187-L187)/Y187)</f>
        <v/>
      </c>
      <c r="AC187" s="26">
        <f>IF(OR(K187="",M187=""),"",ABS(M187-K187)/Y187)</f>
        <v/>
      </c>
      <c r="AD187" s="26">
        <f>IF(OR(K187="",O187=""),"",(O187-K187)*Z187/Y187)</f>
        <v/>
      </c>
      <c r="AE187" s="27">
        <f>IF(OR(AB187="",AB187=0,AC187=""),"",AC187/AB187)</f>
        <v/>
      </c>
      <c r="AF187" s="27">
        <f>IF(OR(AB187="",AB187=0,AD187=""),"",AD187/AB187)</f>
        <v/>
      </c>
      <c r="AG187" s="27">
        <f>IF(OR(C187="",P187=""),"",((P187+IF(Q187="",0,Q187))-(C187+IF(D187="",0,D187)))*24)</f>
        <v/>
      </c>
      <c r="AH187" s="18">
        <f>IF(AG187="","",INT(AG187/24)&amp;"d "&amp;INT(MOD(AG187,24))&amp;"h "&amp;INT(MOD(AG187*60,60))&amp;"m")</f>
        <v/>
      </c>
      <c r="AI187" s="28">
        <f>IF(OR(O187="",K187="",H187=""),"",IF(OR(E187="XAUUSD",RIGHT(E187,3)="USD"),(O187-K187)*Z187*AA187*H187,IF(LEFT(E187,3)="USD",IF(O187=0,"",(O187-K187)*Z187*AA187*H187/O187),AD187*10*H187)))</f>
        <v/>
      </c>
      <c r="AJ187" s="28">
        <f>IF(O187="","",IF(S187="",IF(AI187="",0,AI187),S187)-IF(R187="",0,R187))</f>
        <v/>
      </c>
      <c r="AK187" s="18">
        <f>IF(C187="","",IF(OR(O187="",P187=""),"Open",IF(ABS(AJ187)&lt;=BEThreshold,"BE",IF(AJ187&gt;0,"Win","Loss"))))</f>
        <v/>
      </c>
      <c r="AL187" s="28">
        <f>IF(OR(C187="",AK187="Open"),"",InitialCapital+SUMIFS($AJ$2:AJ187,$AK$2:AK187,"&lt;&gt;Open"))</f>
        <v/>
      </c>
      <c r="AM187" s="18">
        <f>IF(OR(C187="",AK187=""),"",IF(AK187="Open","No","Yes"))</f>
        <v/>
      </c>
    </row>
    <row r="188" ht="18" customHeight="1">
      <c r="A188" s="18">
        <f>IF(C188="","",COUNTA($C$2:C188))</f>
        <v/>
      </c>
      <c r="B188" s="18">
        <f>IF(C188="","",TEXT(C188,"dddd"))</f>
        <v/>
      </c>
      <c r="C188" s="19" t="n"/>
      <c r="D188" s="20" t="n"/>
      <c r="E188" s="21" t="n"/>
      <c r="F188" s="21" t="n"/>
      <c r="G188" s="21" t="n"/>
      <c r="H188" s="22" t="n"/>
      <c r="I188" s="23" t="n"/>
      <c r="J188" s="22" t="n"/>
      <c r="K188" s="24" t="n"/>
      <c r="L188" s="24" t="n"/>
      <c r="M188" s="24" t="n"/>
      <c r="N188" s="21" t="n"/>
      <c r="O188" s="24" t="n"/>
      <c r="P188" s="19" t="n"/>
      <c r="Q188" s="20" t="n"/>
      <c r="R188" s="23" t="n"/>
      <c r="S188" s="23" t="n"/>
      <c r="T188" s="21" t="n"/>
      <c r="U188" s="21" t="n"/>
      <c r="V188" s="21" t="n"/>
      <c r="W188" s="21" t="n"/>
      <c r="X188" s="21" t="n"/>
      <c r="Y188" s="25">
        <f>IF($C188="","",IF(E188="XAUUSD",0.1,IF(ISNUMBER(SEARCH("JPY",E188)),0.01,0.0001)))</f>
        <v/>
      </c>
      <c r="Z188" s="18">
        <f>IF($C188="","",IF(F188="Sell",-1,1))</f>
        <v/>
      </c>
      <c r="AA188" s="18">
        <f>IF($C188="","",IF(E188="XAUUSD",100,100000))</f>
        <v/>
      </c>
      <c r="AB188" s="26">
        <f>IF(OR(K188="",L188=""),"",ABS(K188-L188)/Y188)</f>
        <v/>
      </c>
      <c r="AC188" s="26">
        <f>IF(OR(K188="",M188=""),"",ABS(M188-K188)/Y188)</f>
        <v/>
      </c>
      <c r="AD188" s="26">
        <f>IF(OR(K188="",O188=""),"",(O188-K188)*Z188/Y188)</f>
        <v/>
      </c>
      <c r="AE188" s="27">
        <f>IF(OR(AB188="",AB188=0,AC188=""),"",AC188/AB188)</f>
        <v/>
      </c>
      <c r="AF188" s="27">
        <f>IF(OR(AB188="",AB188=0,AD188=""),"",AD188/AB188)</f>
        <v/>
      </c>
      <c r="AG188" s="27">
        <f>IF(OR(C188="",P188=""),"",((P188+IF(Q188="",0,Q188))-(C188+IF(D188="",0,D188)))*24)</f>
        <v/>
      </c>
      <c r="AH188" s="18">
        <f>IF(AG188="","",INT(AG188/24)&amp;"d "&amp;INT(MOD(AG188,24))&amp;"h "&amp;INT(MOD(AG188*60,60))&amp;"m")</f>
        <v/>
      </c>
      <c r="AI188" s="28">
        <f>IF(OR(O188="",K188="",H188=""),"",IF(OR(E188="XAUUSD",RIGHT(E188,3)="USD"),(O188-K188)*Z188*AA188*H188,IF(LEFT(E188,3)="USD",IF(O188=0,"",(O188-K188)*Z188*AA188*H188/O188),AD188*10*H188)))</f>
        <v/>
      </c>
      <c r="AJ188" s="28">
        <f>IF(O188="","",IF(S188="",IF(AI188="",0,AI188),S188)-IF(R188="",0,R188))</f>
        <v/>
      </c>
      <c r="AK188" s="18">
        <f>IF(C188="","",IF(OR(O188="",P188=""),"Open",IF(ABS(AJ188)&lt;=BEThreshold,"BE",IF(AJ188&gt;0,"Win","Loss"))))</f>
        <v/>
      </c>
      <c r="AL188" s="28">
        <f>IF(OR(C188="",AK188="Open"),"",InitialCapital+SUMIFS($AJ$2:AJ188,$AK$2:AK188,"&lt;&gt;Open"))</f>
        <v/>
      </c>
      <c r="AM188" s="18">
        <f>IF(OR(C188="",AK188=""),"",IF(AK188="Open","No","Yes"))</f>
        <v/>
      </c>
    </row>
    <row r="189" ht="18" customHeight="1">
      <c r="A189" s="18">
        <f>IF(C189="","",COUNTA($C$2:C189))</f>
        <v/>
      </c>
      <c r="B189" s="18">
        <f>IF(C189="","",TEXT(C189,"dddd"))</f>
        <v/>
      </c>
      <c r="C189" s="19" t="n"/>
      <c r="D189" s="20" t="n"/>
      <c r="E189" s="21" t="n"/>
      <c r="F189" s="21" t="n"/>
      <c r="G189" s="21" t="n"/>
      <c r="H189" s="22" t="n"/>
      <c r="I189" s="23" t="n"/>
      <c r="J189" s="22" t="n"/>
      <c r="K189" s="24" t="n"/>
      <c r="L189" s="24" t="n"/>
      <c r="M189" s="24" t="n"/>
      <c r="N189" s="21" t="n"/>
      <c r="O189" s="24" t="n"/>
      <c r="P189" s="19" t="n"/>
      <c r="Q189" s="20" t="n"/>
      <c r="R189" s="23" t="n"/>
      <c r="S189" s="23" t="n"/>
      <c r="T189" s="21" t="n"/>
      <c r="U189" s="21" t="n"/>
      <c r="V189" s="21" t="n"/>
      <c r="W189" s="21" t="n"/>
      <c r="X189" s="21" t="n"/>
      <c r="Y189" s="25">
        <f>IF($C189="","",IF(E189="XAUUSD",0.1,IF(ISNUMBER(SEARCH("JPY",E189)),0.01,0.0001)))</f>
        <v/>
      </c>
      <c r="Z189" s="18">
        <f>IF($C189="","",IF(F189="Sell",-1,1))</f>
        <v/>
      </c>
      <c r="AA189" s="18">
        <f>IF($C189="","",IF(E189="XAUUSD",100,100000))</f>
        <v/>
      </c>
      <c r="AB189" s="26">
        <f>IF(OR(K189="",L189=""),"",ABS(K189-L189)/Y189)</f>
        <v/>
      </c>
      <c r="AC189" s="26">
        <f>IF(OR(K189="",M189=""),"",ABS(M189-K189)/Y189)</f>
        <v/>
      </c>
      <c r="AD189" s="26">
        <f>IF(OR(K189="",O189=""),"",(O189-K189)*Z189/Y189)</f>
        <v/>
      </c>
      <c r="AE189" s="27">
        <f>IF(OR(AB189="",AB189=0,AC189=""),"",AC189/AB189)</f>
        <v/>
      </c>
      <c r="AF189" s="27">
        <f>IF(OR(AB189="",AB189=0,AD189=""),"",AD189/AB189)</f>
        <v/>
      </c>
      <c r="AG189" s="27">
        <f>IF(OR(C189="",P189=""),"",((P189+IF(Q189="",0,Q189))-(C189+IF(D189="",0,D189)))*24)</f>
        <v/>
      </c>
      <c r="AH189" s="18">
        <f>IF(AG189="","",INT(AG189/24)&amp;"d "&amp;INT(MOD(AG189,24))&amp;"h "&amp;INT(MOD(AG189*60,60))&amp;"m")</f>
        <v/>
      </c>
      <c r="AI189" s="28">
        <f>IF(OR(O189="",K189="",H189=""),"",IF(OR(E189="XAUUSD",RIGHT(E189,3)="USD"),(O189-K189)*Z189*AA189*H189,IF(LEFT(E189,3)="USD",IF(O189=0,"",(O189-K189)*Z189*AA189*H189/O189),AD189*10*H189)))</f>
        <v/>
      </c>
      <c r="AJ189" s="28">
        <f>IF(O189="","",IF(S189="",IF(AI189="",0,AI189),S189)-IF(R189="",0,R189))</f>
        <v/>
      </c>
      <c r="AK189" s="18">
        <f>IF(C189="","",IF(OR(O189="",P189=""),"Open",IF(ABS(AJ189)&lt;=BEThreshold,"BE",IF(AJ189&gt;0,"Win","Loss"))))</f>
        <v/>
      </c>
      <c r="AL189" s="28">
        <f>IF(OR(C189="",AK189="Open"),"",InitialCapital+SUMIFS($AJ$2:AJ189,$AK$2:AK189,"&lt;&gt;Open"))</f>
        <v/>
      </c>
      <c r="AM189" s="18">
        <f>IF(OR(C189="",AK189=""),"",IF(AK189="Open","No","Yes"))</f>
        <v/>
      </c>
    </row>
    <row r="190" ht="18" customHeight="1">
      <c r="A190" s="18">
        <f>IF(C190="","",COUNTA($C$2:C190))</f>
        <v/>
      </c>
      <c r="B190" s="18">
        <f>IF(C190="","",TEXT(C190,"dddd"))</f>
        <v/>
      </c>
      <c r="C190" s="19" t="n"/>
      <c r="D190" s="20" t="n"/>
      <c r="E190" s="21" t="n"/>
      <c r="F190" s="21" t="n"/>
      <c r="G190" s="21" t="n"/>
      <c r="H190" s="22" t="n"/>
      <c r="I190" s="23" t="n"/>
      <c r="J190" s="22" t="n"/>
      <c r="K190" s="24" t="n"/>
      <c r="L190" s="24" t="n"/>
      <c r="M190" s="24" t="n"/>
      <c r="N190" s="21" t="n"/>
      <c r="O190" s="24" t="n"/>
      <c r="P190" s="19" t="n"/>
      <c r="Q190" s="20" t="n"/>
      <c r="R190" s="23" t="n"/>
      <c r="S190" s="23" t="n"/>
      <c r="T190" s="21" t="n"/>
      <c r="U190" s="21" t="n"/>
      <c r="V190" s="21" t="n"/>
      <c r="W190" s="21" t="n"/>
      <c r="X190" s="21" t="n"/>
      <c r="Y190" s="25">
        <f>IF($C190="","",IF(E190="XAUUSD",0.1,IF(ISNUMBER(SEARCH("JPY",E190)),0.01,0.0001)))</f>
        <v/>
      </c>
      <c r="Z190" s="18">
        <f>IF($C190="","",IF(F190="Sell",-1,1))</f>
        <v/>
      </c>
      <c r="AA190" s="18">
        <f>IF($C190="","",IF(E190="XAUUSD",100,100000))</f>
        <v/>
      </c>
      <c r="AB190" s="26">
        <f>IF(OR(K190="",L190=""),"",ABS(K190-L190)/Y190)</f>
        <v/>
      </c>
      <c r="AC190" s="26">
        <f>IF(OR(K190="",M190=""),"",ABS(M190-K190)/Y190)</f>
        <v/>
      </c>
      <c r="AD190" s="26">
        <f>IF(OR(K190="",O190=""),"",(O190-K190)*Z190/Y190)</f>
        <v/>
      </c>
      <c r="AE190" s="27">
        <f>IF(OR(AB190="",AB190=0,AC190=""),"",AC190/AB190)</f>
        <v/>
      </c>
      <c r="AF190" s="27">
        <f>IF(OR(AB190="",AB190=0,AD190=""),"",AD190/AB190)</f>
        <v/>
      </c>
      <c r="AG190" s="27">
        <f>IF(OR(C190="",P190=""),"",((P190+IF(Q190="",0,Q190))-(C190+IF(D190="",0,D190)))*24)</f>
        <v/>
      </c>
      <c r="AH190" s="18">
        <f>IF(AG190="","",INT(AG190/24)&amp;"d "&amp;INT(MOD(AG190,24))&amp;"h "&amp;INT(MOD(AG190*60,60))&amp;"m")</f>
        <v/>
      </c>
      <c r="AI190" s="28">
        <f>IF(OR(O190="",K190="",H190=""),"",IF(OR(E190="XAUUSD",RIGHT(E190,3)="USD"),(O190-K190)*Z190*AA190*H190,IF(LEFT(E190,3)="USD",IF(O190=0,"",(O190-K190)*Z190*AA190*H190/O190),AD190*10*H190)))</f>
        <v/>
      </c>
      <c r="AJ190" s="28">
        <f>IF(O190="","",IF(S190="",IF(AI190="",0,AI190),S190)-IF(R190="",0,R190))</f>
        <v/>
      </c>
      <c r="AK190" s="18">
        <f>IF(C190="","",IF(OR(O190="",P190=""),"Open",IF(ABS(AJ190)&lt;=BEThreshold,"BE",IF(AJ190&gt;0,"Win","Loss"))))</f>
        <v/>
      </c>
      <c r="AL190" s="28">
        <f>IF(OR(C190="",AK190="Open"),"",InitialCapital+SUMIFS($AJ$2:AJ190,$AK$2:AK190,"&lt;&gt;Open"))</f>
        <v/>
      </c>
      <c r="AM190" s="18">
        <f>IF(OR(C190="",AK190=""),"",IF(AK190="Open","No","Yes"))</f>
        <v/>
      </c>
    </row>
    <row r="191" ht="18" customHeight="1">
      <c r="A191" s="18">
        <f>IF(C191="","",COUNTA($C$2:C191))</f>
        <v/>
      </c>
      <c r="B191" s="18">
        <f>IF(C191="","",TEXT(C191,"dddd"))</f>
        <v/>
      </c>
      <c r="C191" s="19" t="n"/>
      <c r="D191" s="20" t="n"/>
      <c r="E191" s="21" t="n"/>
      <c r="F191" s="21" t="n"/>
      <c r="G191" s="21" t="n"/>
      <c r="H191" s="22" t="n"/>
      <c r="I191" s="23" t="n"/>
      <c r="J191" s="22" t="n"/>
      <c r="K191" s="24" t="n"/>
      <c r="L191" s="24" t="n"/>
      <c r="M191" s="24" t="n"/>
      <c r="N191" s="21" t="n"/>
      <c r="O191" s="24" t="n"/>
      <c r="P191" s="19" t="n"/>
      <c r="Q191" s="20" t="n"/>
      <c r="R191" s="23" t="n"/>
      <c r="S191" s="23" t="n"/>
      <c r="T191" s="21" t="n"/>
      <c r="U191" s="21" t="n"/>
      <c r="V191" s="21" t="n"/>
      <c r="W191" s="21" t="n"/>
      <c r="X191" s="21" t="n"/>
      <c r="Y191" s="25">
        <f>IF($C191="","",IF(E191="XAUUSD",0.1,IF(ISNUMBER(SEARCH("JPY",E191)),0.01,0.0001)))</f>
        <v/>
      </c>
      <c r="Z191" s="18">
        <f>IF($C191="","",IF(F191="Sell",-1,1))</f>
        <v/>
      </c>
      <c r="AA191" s="18">
        <f>IF($C191="","",IF(E191="XAUUSD",100,100000))</f>
        <v/>
      </c>
      <c r="AB191" s="26">
        <f>IF(OR(K191="",L191=""),"",ABS(K191-L191)/Y191)</f>
        <v/>
      </c>
      <c r="AC191" s="26">
        <f>IF(OR(K191="",M191=""),"",ABS(M191-K191)/Y191)</f>
        <v/>
      </c>
      <c r="AD191" s="26">
        <f>IF(OR(K191="",O191=""),"",(O191-K191)*Z191/Y191)</f>
        <v/>
      </c>
      <c r="AE191" s="27">
        <f>IF(OR(AB191="",AB191=0,AC191=""),"",AC191/AB191)</f>
        <v/>
      </c>
      <c r="AF191" s="27">
        <f>IF(OR(AB191="",AB191=0,AD191=""),"",AD191/AB191)</f>
        <v/>
      </c>
      <c r="AG191" s="27">
        <f>IF(OR(C191="",P191=""),"",((P191+IF(Q191="",0,Q191))-(C191+IF(D191="",0,D191)))*24)</f>
        <v/>
      </c>
      <c r="AH191" s="18">
        <f>IF(AG191="","",INT(AG191/24)&amp;"d "&amp;INT(MOD(AG191,24))&amp;"h "&amp;INT(MOD(AG191*60,60))&amp;"m")</f>
        <v/>
      </c>
      <c r="AI191" s="28">
        <f>IF(OR(O191="",K191="",H191=""),"",IF(OR(E191="XAUUSD",RIGHT(E191,3)="USD"),(O191-K191)*Z191*AA191*H191,IF(LEFT(E191,3)="USD",IF(O191=0,"",(O191-K191)*Z191*AA191*H191/O191),AD191*10*H191)))</f>
        <v/>
      </c>
      <c r="AJ191" s="28">
        <f>IF(O191="","",IF(S191="",IF(AI191="",0,AI191),S191)-IF(R191="",0,R191))</f>
        <v/>
      </c>
      <c r="AK191" s="18">
        <f>IF(C191="","",IF(OR(O191="",P191=""),"Open",IF(ABS(AJ191)&lt;=BEThreshold,"BE",IF(AJ191&gt;0,"Win","Loss"))))</f>
        <v/>
      </c>
      <c r="AL191" s="28">
        <f>IF(OR(C191="",AK191="Open"),"",InitialCapital+SUMIFS($AJ$2:AJ191,$AK$2:AK191,"&lt;&gt;Open"))</f>
        <v/>
      </c>
      <c r="AM191" s="18">
        <f>IF(OR(C191="",AK191=""),"",IF(AK191="Open","No","Yes"))</f>
        <v/>
      </c>
    </row>
    <row r="192" ht="18" customHeight="1">
      <c r="A192" s="18">
        <f>IF(C192="","",COUNTA($C$2:C192))</f>
        <v/>
      </c>
      <c r="B192" s="18">
        <f>IF(C192="","",TEXT(C192,"dddd"))</f>
        <v/>
      </c>
      <c r="C192" s="19" t="n"/>
      <c r="D192" s="20" t="n"/>
      <c r="E192" s="21" t="n"/>
      <c r="F192" s="21" t="n"/>
      <c r="G192" s="21" t="n"/>
      <c r="H192" s="22" t="n"/>
      <c r="I192" s="23" t="n"/>
      <c r="J192" s="22" t="n"/>
      <c r="K192" s="24" t="n"/>
      <c r="L192" s="24" t="n"/>
      <c r="M192" s="24" t="n"/>
      <c r="N192" s="21" t="n"/>
      <c r="O192" s="24" t="n"/>
      <c r="P192" s="19" t="n"/>
      <c r="Q192" s="20" t="n"/>
      <c r="R192" s="23" t="n"/>
      <c r="S192" s="23" t="n"/>
      <c r="T192" s="21" t="n"/>
      <c r="U192" s="21" t="n"/>
      <c r="V192" s="21" t="n"/>
      <c r="W192" s="21" t="n"/>
      <c r="X192" s="21" t="n"/>
      <c r="Y192" s="25">
        <f>IF($C192="","",IF(E192="XAUUSD",0.1,IF(ISNUMBER(SEARCH("JPY",E192)),0.01,0.0001)))</f>
        <v/>
      </c>
      <c r="Z192" s="18">
        <f>IF($C192="","",IF(F192="Sell",-1,1))</f>
        <v/>
      </c>
      <c r="AA192" s="18">
        <f>IF($C192="","",IF(E192="XAUUSD",100,100000))</f>
        <v/>
      </c>
      <c r="AB192" s="26">
        <f>IF(OR(K192="",L192=""),"",ABS(K192-L192)/Y192)</f>
        <v/>
      </c>
      <c r="AC192" s="26">
        <f>IF(OR(K192="",M192=""),"",ABS(M192-K192)/Y192)</f>
        <v/>
      </c>
      <c r="AD192" s="26">
        <f>IF(OR(K192="",O192=""),"",(O192-K192)*Z192/Y192)</f>
        <v/>
      </c>
      <c r="AE192" s="27">
        <f>IF(OR(AB192="",AB192=0,AC192=""),"",AC192/AB192)</f>
        <v/>
      </c>
      <c r="AF192" s="27">
        <f>IF(OR(AB192="",AB192=0,AD192=""),"",AD192/AB192)</f>
        <v/>
      </c>
      <c r="AG192" s="27">
        <f>IF(OR(C192="",P192=""),"",((P192+IF(Q192="",0,Q192))-(C192+IF(D192="",0,D192)))*24)</f>
        <v/>
      </c>
      <c r="AH192" s="18">
        <f>IF(AG192="","",INT(AG192/24)&amp;"d "&amp;INT(MOD(AG192,24))&amp;"h "&amp;INT(MOD(AG192*60,60))&amp;"m")</f>
        <v/>
      </c>
      <c r="AI192" s="28">
        <f>IF(OR(O192="",K192="",H192=""),"",IF(OR(E192="XAUUSD",RIGHT(E192,3)="USD"),(O192-K192)*Z192*AA192*H192,IF(LEFT(E192,3)="USD",IF(O192=0,"",(O192-K192)*Z192*AA192*H192/O192),AD192*10*H192)))</f>
        <v/>
      </c>
      <c r="AJ192" s="28">
        <f>IF(O192="","",IF(S192="",IF(AI192="",0,AI192),S192)-IF(R192="",0,R192))</f>
        <v/>
      </c>
      <c r="AK192" s="18">
        <f>IF(C192="","",IF(OR(O192="",P192=""),"Open",IF(ABS(AJ192)&lt;=BEThreshold,"BE",IF(AJ192&gt;0,"Win","Loss"))))</f>
        <v/>
      </c>
      <c r="AL192" s="28">
        <f>IF(OR(C192="",AK192="Open"),"",InitialCapital+SUMIFS($AJ$2:AJ192,$AK$2:AK192,"&lt;&gt;Open"))</f>
        <v/>
      </c>
      <c r="AM192" s="18">
        <f>IF(OR(C192="",AK192=""),"",IF(AK192="Open","No","Yes"))</f>
        <v/>
      </c>
    </row>
    <row r="193" ht="18" customHeight="1">
      <c r="A193" s="18">
        <f>IF(C193="","",COUNTA($C$2:C193))</f>
        <v/>
      </c>
      <c r="B193" s="18">
        <f>IF(C193="","",TEXT(C193,"dddd"))</f>
        <v/>
      </c>
      <c r="C193" s="19" t="n"/>
      <c r="D193" s="20" t="n"/>
      <c r="E193" s="21" t="n"/>
      <c r="F193" s="21" t="n"/>
      <c r="G193" s="21" t="n"/>
      <c r="H193" s="22" t="n"/>
      <c r="I193" s="23" t="n"/>
      <c r="J193" s="22" t="n"/>
      <c r="K193" s="24" t="n"/>
      <c r="L193" s="24" t="n"/>
      <c r="M193" s="24" t="n"/>
      <c r="N193" s="21" t="n"/>
      <c r="O193" s="24" t="n"/>
      <c r="P193" s="19" t="n"/>
      <c r="Q193" s="20" t="n"/>
      <c r="R193" s="23" t="n"/>
      <c r="S193" s="23" t="n"/>
      <c r="T193" s="21" t="n"/>
      <c r="U193" s="21" t="n"/>
      <c r="V193" s="21" t="n"/>
      <c r="W193" s="21" t="n"/>
      <c r="X193" s="21" t="n"/>
      <c r="Y193" s="25">
        <f>IF($C193="","",IF(E193="XAUUSD",0.1,IF(ISNUMBER(SEARCH("JPY",E193)),0.01,0.0001)))</f>
        <v/>
      </c>
      <c r="Z193" s="18">
        <f>IF($C193="","",IF(F193="Sell",-1,1))</f>
        <v/>
      </c>
      <c r="AA193" s="18">
        <f>IF($C193="","",IF(E193="XAUUSD",100,100000))</f>
        <v/>
      </c>
      <c r="AB193" s="26">
        <f>IF(OR(K193="",L193=""),"",ABS(K193-L193)/Y193)</f>
        <v/>
      </c>
      <c r="AC193" s="26">
        <f>IF(OR(K193="",M193=""),"",ABS(M193-K193)/Y193)</f>
        <v/>
      </c>
      <c r="AD193" s="26">
        <f>IF(OR(K193="",O193=""),"",(O193-K193)*Z193/Y193)</f>
        <v/>
      </c>
      <c r="AE193" s="27">
        <f>IF(OR(AB193="",AB193=0,AC193=""),"",AC193/AB193)</f>
        <v/>
      </c>
      <c r="AF193" s="27">
        <f>IF(OR(AB193="",AB193=0,AD193=""),"",AD193/AB193)</f>
        <v/>
      </c>
      <c r="AG193" s="27">
        <f>IF(OR(C193="",P193=""),"",((P193+IF(Q193="",0,Q193))-(C193+IF(D193="",0,D193)))*24)</f>
        <v/>
      </c>
      <c r="AH193" s="18">
        <f>IF(AG193="","",INT(AG193/24)&amp;"d "&amp;INT(MOD(AG193,24))&amp;"h "&amp;INT(MOD(AG193*60,60))&amp;"m")</f>
        <v/>
      </c>
      <c r="AI193" s="28">
        <f>IF(OR(O193="",K193="",H193=""),"",IF(OR(E193="XAUUSD",RIGHT(E193,3)="USD"),(O193-K193)*Z193*AA193*H193,IF(LEFT(E193,3)="USD",IF(O193=0,"",(O193-K193)*Z193*AA193*H193/O193),AD193*10*H193)))</f>
        <v/>
      </c>
      <c r="AJ193" s="28">
        <f>IF(O193="","",IF(S193="",IF(AI193="",0,AI193),S193)-IF(R193="",0,R193))</f>
        <v/>
      </c>
      <c r="AK193" s="18">
        <f>IF(C193="","",IF(OR(O193="",P193=""),"Open",IF(ABS(AJ193)&lt;=BEThreshold,"BE",IF(AJ193&gt;0,"Win","Loss"))))</f>
        <v/>
      </c>
      <c r="AL193" s="28">
        <f>IF(OR(C193="",AK193="Open"),"",InitialCapital+SUMIFS($AJ$2:AJ193,$AK$2:AK193,"&lt;&gt;Open"))</f>
        <v/>
      </c>
      <c r="AM193" s="18">
        <f>IF(OR(C193="",AK193=""),"",IF(AK193="Open","No","Yes"))</f>
        <v/>
      </c>
    </row>
    <row r="194" ht="18" customHeight="1">
      <c r="A194" s="18">
        <f>IF(C194="","",COUNTA($C$2:C194))</f>
        <v/>
      </c>
      <c r="B194" s="18">
        <f>IF(C194="","",TEXT(C194,"dddd"))</f>
        <v/>
      </c>
      <c r="C194" s="19" t="n"/>
      <c r="D194" s="20" t="n"/>
      <c r="E194" s="21" t="n"/>
      <c r="F194" s="21" t="n"/>
      <c r="G194" s="21" t="n"/>
      <c r="H194" s="22" t="n"/>
      <c r="I194" s="23" t="n"/>
      <c r="J194" s="22" t="n"/>
      <c r="K194" s="24" t="n"/>
      <c r="L194" s="24" t="n"/>
      <c r="M194" s="24" t="n"/>
      <c r="N194" s="21" t="n"/>
      <c r="O194" s="24" t="n"/>
      <c r="P194" s="19" t="n"/>
      <c r="Q194" s="20" t="n"/>
      <c r="R194" s="23" t="n"/>
      <c r="S194" s="23" t="n"/>
      <c r="T194" s="21" t="n"/>
      <c r="U194" s="21" t="n"/>
      <c r="V194" s="21" t="n"/>
      <c r="W194" s="21" t="n"/>
      <c r="X194" s="21" t="n"/>
      <c r="Y194" s="25">
        <f>IF($C194="","",IF(E194="XAUUSD",0.1,IF(ISNUMBER(SEARCH("JPY",E194)),0.01,0.0001)))</f>
        <v/>
      </c>
      <c r="Z194" s="18">
        <f>IF($C194="","",IF(F194="Sell",-1,1))</f>
        <v/>
      </c>
      <c r="AA194" s="18">
        <f>IF($C194="","",IF(E194="XAUUSD",100,100000))</f>
        <v/>
      </c>
      <c r="AB194" s="26">
        <f>IF(OR(K194="",L194=""),"",ABS(K194-L194)/Y194)</f>
        <v/>
      </c>
      <c r="AC194" s="26">
        <f>IF(OR(K194="",M194=""),"",ABS(M194-K194)/Y194)</f>
        <v/>
      </c>
      <c r="AD194" s="26">
        <f>IF(OR(K194="",O194=""),"",(O194-K194)*Z194/Y194)</f>
        <v/>
      </c>
      <c r="AE194" s="27">
        <f>IF(OR(AB194="",AB194=0,AC194=""),"",AC194/AB194)</f>
        <v/>
      </c>
      <c r="AF194" s="27">
        <f>IF(OR(AB194="",AB194=0,AD194=""),"",AD194/AB194)</f>
        <v/>
      </c>
      <c r="AG194" s="27">
        <f>IF(OR(C194="",P194=""),"",((P194+IF(Q194="",0,Q194))-(C194+IF(D194="",0,D194)))*24)</f>
        <v/>
      </c>
      <c r="AH194" s="18">
        <f>IF(AG194="","",INT(AG194/24)&amp;"d "&amp;INT(MOD(AG194,24))&amp;"h "&amp;INT(MOD(AG194*60,60))&amp;"m")</f>
        <v/>
      </c>
      <c r="AI194" s="28">
        <f>IF(OR(O194="",K194="",H194=""),"",IF(OR(E194="XAUUSD",RIGHT(E194,3)="USD"),(O194-K194)*Z194*AA194*H194,IF(LEFT(E194,3)="USD",IF(O194=0,"",(O194-K194)*Z194*AA194*H194/O194),AD194*10*H194)))</f>
        <v/>
      </c>
      <c r="AJ194" s="28">
        <f>IF(O194="","",IF(S194="",IF(AI194="",0,AI194),S194)-IF(R194="",0,R194))</f>
        <v/>
      </c>
      <c r="AK194" s="18">
        <f>IF(C194="","",IF(OR(O194="",P194=""),"Open",IF(ABS(AJ194)&lt;=BEThreshold,"BE",IF(AJ194&gt;0,"Win","Loss"))))</f>
        <v/>
      </c>
      <c r="AL194" s="28">
        <f>IF(OR(C194="",AK194="Open"),"",InitialCapital+SUMIFS($AJ$2:AJ194,$AK$2:AK194,"&lt;&gt;Open"))</f>
        <v/>
      </c>
      <c r="AM194" s="18">
        <f>IF(OR(C194="",AK194=""),"",IF(AK194="Open","No","Yes"))</f>
        <v/>
      </c>
    </row>
    <row r="195" ht="18" customHeight="1">
      <c r="A195" s="18">
        <f>IF(C195="","",COUNTA($C$2:C195))</f>
        <v/>
      </c>
      <c r="B195" s="18">
        <f>IF(C195="","",TEXT(C195,"dddd"))</f>
        <v/>
      </c>
      <c r="C195" s="19" t="n"/>
      <c r="D195" s="20" t="n"/>
      <c r="E195" s="21" t="n"/>
      <c r="F195" s="21" t="n"/>
      <c r="G195" s="21" t="n"/>
      <c r="H195" s="22" t="n"/>
      <c r="I195" s="23" t="n"/>
      <c r="J195" s="22" t="n"/>
      <c r="K195" s="24" t="n"/>
      <c r="L195" s="24" t="n"/>
      <c r="M195" s="24" t="n"/>
      <c r="N195" s="21" t="n"/>
      <c r="O195" s="24" t="n"/>
      <c r="P195" s="19" t="n"/>
      <c r="Q195" s="20" t="n"/>
      <c r="R195" s="23" t="n"/>
      <c r="S195" s="23" t="n"/>
      <c r="T195" s="21" t="n"/>
      <c r="U195" s="21" t="n"/>
      <c r="V195" s="21" t="n"/>
      <c r="W195" s="21" t="n"/>
      <c r="X195" s="21" t="n"/>
      <c r="Y195" s="25">
        <f>IF($C195="","",IF(E195="XAUUSD",0.1,IF(ISNUMBER(SEARCH("JPY",E195)),0.01,0.0001)))</f>
        <v/>
      </c>
      <c r="Z195" s="18">
        <f>IF($C195="","",IF(F195="Sell",-1,1))</f>
        <v/>
      </c>
      <c r="AA195" s="18">
        <f>IF($C195="","",IF(E195="XAUUSD",100,100000))</f>
        <v/>
      </c>
      <c r="AB195" s="26">
        <f>IF(OR(K195="",L195=""),"",ABS(K195-L195)/Y195)</f>
        <v/>
      </c>
      <c r="AC195" s="26">
        <f>IF(OR(K195="",M195=""),"",ABS(M195-K195)/Y195)</f>
        <v/>
      </c>
      <c r="AD195" s="26">
        <f>IF(OR(K195="",O195=""),"",(O195-K195)*Z195/Y195)</f>
        <v/>
      </c>
      <c r="AE195" s="27">
        <f>IF(OR(AB195="",AB195=0,AC195=""),"",AC195/AB195)</f>
        <v/>
      </c>
      <c r="AF195" s="27">
        <f>IF(OR(AB195="",AB195=0,AD195=""),"",AD195/AB195)</f>
        <v/>
      </c>
      <c r="AG195" s="27">
        <f>IF(OR(C195="",P195=""),"",((P195+IF(Q195="",0,Q195))-(C195+IF(D195="",0,D195)))*24)</f>
        <v/>
      </c>
      <c r="AH195" s="18">
        <f>IF(AG195="","",INT(AG195/24)&amp;"d "&amp;INT(MOD(AG195,24))&amp;"h "&amp;INT(MOD(AG195*60,60))&amp;"m")</f>
        <v/>
      </c>
      <c r="AI195" s="28">
        <f>IF(OR(O195="",K195="",H195=""),"",IF(OR(E195="XAUUSD",RIGHT(E195,3)="USD"),(O195-K195)*Z195*AA195*H195,IF(LEFT(E195,3)="USD",IF(O195=0,"",(O195-K195)*Z195*AA195*H195/O195),AD195*10*H195)))</f>
        <v/>
      </c>
      <c r="AJ195" s="28">
        <f>IF(O195="","",IF(S195="",IF(AI195="",0,AI195),S195)-IF(R195="",0,R195))</f>
        <v/>
      </c>
      <c r="AK195" s="18">
        <f>IF(C195="","",IF(OR(O195="",P195=""),"Open",IF(ABS(AJ195)&lt;=BEThreshold,"BE",IF(AJ195&gt;0,"Win","Loss"))))</f>
        <v/>
      </c>
      <c r="AL195" s="28">
        <f>IF(OR(C195="",AK195="Open"),"",InitialCapital+SUMIFS($AJ$2:AJ195,$AK$2:AK195,"&lt;&gt;Open"))</f>
        <v/>
      </c>
      <c r="AM195" s="18">
        <f>IF(OR(C195="",AK195=""),"",IF(AK195="Open","No","Yes"))</f>
        <v/>
      </c>
    </row>
    <row r="196" ht="18" customHeight="1">
      <c r="A196" s="18">
        <f>IF(C196="","",COUNTA($C$2:C196))</f>
        <v/>
      </c>
      <c r="B196" s="18">
        <f>IF(C196="","",TEXT(C196,"dddd"))</f>
        <v/>
      </c>
      <c r="C196" s="19" t="n"/>
      <c r="D196" s="20" t="n"/>
      <c r="E196" s="21" t="n"/>
      <c r="F196" s="21" t="n"/>
      <c r="G196" s="21" t="n"/>
      <c r="H196" s="22" t="n"/>
      <c r="I196" s="23" t="n"/>
      <c r="J196" s="22" t="n"/>
      <c r="K196" s="24" t="n"/>
      <c r="L196" s="24" t="n"/>
      <c r="M196" s="24" t="n"/>
      <c r="N196" s="21" t="n"/>
      <c r="O196" s="24" t="n"/>
      <c r="P196" s="19" t="n"/>
      <c r="Q196" s="20" t="n"/>
      <c r="R196" s="23" t="n"/>
      <c r="S196" s="23" t="n"/>
      <c r="T196" s="21" t="n"/>
      <c r="U196" s="21" t="n"/>
      <c r="V196" s="21" t="n"/>
      <c r="W196" s="21" t="n"/>
      <c r="X196" s="21" t="n"/>
      <c r="Y196" s="25">
        <f>IF($C196="","",IF(E196="XAUUSD",0.1,IF(ISNUMBER(SEARCH("JPY",E196)),0.01,0.0001)))</f>
        <v/>
      </c>
      <c r="Z196" s="18">
        <f>IF($C196="","",IF(F196="Sell",-1,1))</f>
        <v/>
      </c>
      <c r="AA196" s="18">
        <f>IF($C196="","",IF(E196="XAUUSD",100,100000))</f>
        <v/>
      </c>
      <c r="AB196" s="26">
        <f>IF(OR(K196="",L196=""),"",ABS(K196-L196)/Y196)</f>
        <v/>
      </c>
      <c r="AC196" s="26">
        <f>IF(OR(K196="",M196=""),"",ABS(M196-K196)/Y196)</f>
        <v/>
      </c>
      <c r="AD196" s="26">
        <f>IF(OR(K196="",O196=""),"",(O196-K196)*Z196/Y196)</f>
        <v/>
      </c>
      <c r="AE196" s="27">
        <f>IF(OR(AB196="",AB196=0,AC196=""),"",AC196/AB196)</f>
        <v/>
      </c>
      <c r="AF196" s="27">
        <f>IF(OR(AB196="",AB196=0,AD196=""),"",AD196/AB196)</f>
        <v/>
      </c>
      <c r="AG196" s="27">
        <f>IF(OR(C196="",P196=""),"",((P196+IF(Q196="",0,Q196))-(C196+IF(D196="",0,D196)))*24)</f>
        <v/>
      </c>
      <c r="AH196" s="18">
        <f>IF(AG196="","",INT(AG196/24)&amp;"d "&amp;INT(MOD(AG196,24))&amp;"h "&amp;INT(MOD(AG196*60,60))&amp;"m")</f>
        <v/>
      </c>
      <c r="AI196" s="28">
        <f>IF(OR(O196="",K196="",H196=""),"",IF(OR(E196="XAUUSD",RIGHT(E196,3)="USD"),(O196-K196)*Z196*AA196*H196,IF(LEFT(E196,3)="USD",IF(O196=0,"",(O196-K196)*Z196*AA196*H196/O196),AD196*10*H196)))</f>
        <v/>
      </c>
      <c r="AJ196" s="28">
        <f>IF(O196="","",IF(S196="",IF(AI196="",0,AI196),S196)-IF(R196="",0,R196))</f>
        <v/>
      </c>
      <c r="AK196" s="18">
        <f>IF(C196="","",IF(OR(O196="",P196=""),"Open",IF(ABS(AJ196)&lt;=BEThreshold,"BE",IF(AJ196&gt;0,"Win","Loss"))))</f>
        <v/>
      </c>
      <c r="AL196" s="28">
        <f>IF(OR(C196="",AK196="Open"),"",InitialCapital+SUMIFS($AJ$2:AJ196,$AK$2:AK196,"&lt;&gt;Open"))</f>
        <v/>
      </c>
      <c r="AM196" s="18">
        <f>IF(OR(C196="",AK196=""),"",IF(AK196="Open","No","Yes"))</f>
        <v/>
      </c>
    </row>
    <row r="197" ht="18" customHeight="1">
      <c r="A197" s="18">
        <f>IF(C197="","",COUNTA($C$2:C197))</f>
        <v/>
      </c>
      <c r="B197" s="18">
        <f>IF(C197="","",TEXT(C197,"dddd"))</f>
        <v/>
      </c>
      <c r="C197" s="19" t="n"/>
      <c r="D197" s="20" t="n"/>
      <c r="E197" s="21" t="n"/>
      <c r="F197" s="21" t="n"/>
      <c r="G197" s="21" t="n"/>
      <c r="H197" s="22" t="n"/>
      <c r="I197" s="23" t="n"/>
      <c r="J197" s="22" t="n"/>
      <c r="K197" s="24" t="n"/>
      <c r="L197" s="24" t="n"/>
      <c r="M197" s="24" t="n"/>
      <c r="N197" s="21" t="n"/>
      <c r="O197" s="24" t="n"/>
      <c r="P197" s="19" t="n"/>
      <c r="Q197" s="20" t="n"/>
      <c r="R197" s="23" t="n"/>
      <c r="S197" s="23" t="n"/>
      <c r="T197" s="21" t="n"/>
      <c r="U197" s="21" t="n"/>
      <c r="V197" s="21" t="n"/>
      <c r="W197" s="21" t="n"/>
      <c r="X197" s="21" t="n"/>
      <c r="Y197" s="25">
        <f>IF($C197="","",IF(E197="XAUUSD",0.1,IF(ISNUMBER(SEARCH("JPY",E197)),0.01,0.0001)))</f>
        <v/>
      </c>
      <c r="Z197" s="18">
        <f>IF($C197="","",IF(F197="Sell",-1,1))</f>
        <v/>
      </c>
      <c r="AA197" s="18">
        <f>IF($C197="","",IF(E197="XAUUSD",100,100000))</f>
        <v/>
      </c>
      <c r="AB197" s="26">
        <f>IF(OR(K197="",L197=""),"",ABS(K197-L197)/Y197)</f>
        <v/>
      </c>
      <c r="AC197" s="26">
        <f>IF(OR(K197="",M197=""),"",ABS(M197-K197)/Y197)</f>
        <v/>
      </c>
      <c r="AD197" s="26">
        <f>IF(OR(K197="",O197=""),"",(O197-K197)*Z197/Y197)</f>
        <v/>
      </c>
      <c r="AE197" s="27">
        <f>IF(OR(AB197="",AB197=0,AC197=""),"",AC197/AB197)</f>
        <v/>
      </c>
      <c r="AF197" s="27">
        <f>IF(OR(AB197="",AB197=0,AD197=""),"",AD197/AB197)</f>
        <v/>
      </c>
      <c r="AG197" s="27">
        <f>IF(OR(C197="",P197=""),"",((P197+IF(Q197="",0,Q197))-(C197+IF(D197="",0,D197)))*24)</f>
        <v/>
      </c>
      <c r="AH197" s="18">
        <f>IF(AG197="","",INT(AG197/24)&amp;"d "&amp;INT(MOD(AG197,24))&amp;"h "&amp;INT(MOD(AG197*60,60))&amp;"m")</f>
        <v/>
      </c>
      <c r="AI197" s="28">
        <f>IF(OR(O197="",K197="",H197=""),"",IF(OR(E197="XAUUSD",RIGHT(E197,3)="USD"),(O197-K197)*Z197*AA197*H197,IF(LEFT(E197,3)="USD",IF(O197=0,"",(O197-K197)*Z197*AA197*H197/O197),AD197*10*H197)))</f>
        <v/>
      </c>
      <c r="AJ197" s="28">
        <f>IF(O197="","",IF(S197="",IF(AI197="",0,AI197),S197)-IF(R197="",0,R197))</f>
        <v/>
      </c>
      <c r="AK197" s="18">
        <f>IF(C197="","",IF(OR(O197="",P197=""),"Open",IF(ABS(AJ197)&lt;=BEThreshold,"BE",IF(AJ197&gt;0,"Win","Loss"))))</f>
        <v/>
      </c>
      <c r="AL197" s="28">
        <f>IF(OR(C197="",AK197="Open"),"",InitialCapital+SUMIFS($AJ$2:AJ197,$AK$2:AK197,"&lt;&gt;Open"))</f>
        <v/>
      </c>
      <c r="AM197" s="18">
        <f>IF(OR(C197="",AK197=""),"",IF(AK197="Open","No","Yes"))</f>
        <v/>
      </c>
    </row>
    <row r="198" ht="18" customHeight="1">
      <c r="A198" s="18">
        <f>IF(C198="","",COUNTA($C$2:C198))</f>
        <v/>
      </c>
      <c r="B198" s="18">
        <f>IF(C198="","",TEXT(C198,"dddd"))</f>
        <v/>
      </c>
      <c r="C198" s="19" t="n"/>
      <c r="D198" s="20" t="n"/>
      <c r="E198" s="21" t="n"/>
      <c r="F198" s="21" t="n"/>
      <c r="G198" s="21" t="n"/>
      <c r="H198" s="22" t="n"/>
      <c r="I198" s="23" t="n"/>
      <c r="J198" s="22" t="n"/>
      <c r="K198" s="24" t="n"/>
      <c r="L198" s="24" t="n"/>
      <c r="M198" s="24" t="n"/>
      <c r="N198" s="21" t="n"/>
      <c r="O198" s="24" t="n"/>
      <c r="P198" s="19" t="n"/>
      <c r="Q198" s="20" t="n"/>
      <c r="R198" s="23" t="n"/>
      <c r="S198" s="23" t="n"/>
      <c r="T198" s="21" t="n"/>
      <c r="U198" s="21" t="n"/>
      <c r="V198" s="21" t="n"/>
      <c r="W198" s="21" t="n"/>
      <c r="X198" s="21" t="n"/>
      <c r="Y198" s="25">
        <f>IF($C198="","",IF(E198="XAUUSD",0.1,IF(ISNUMBER(SEARCH("JPY",E198)),0.01,0.0001)))</f>
        <v/>
      </c>
      <c r="Z198" s="18">
        <f>IF($C198="","",IF(F198="Sell",-1,1))</f>
        <v/>
      </c>
      <c r="AA198" s="18">
        <f>IF($C198="","",IF(E198="XAUUSD",100,100000))</f>
        <v/>
      </c>
      <c r="AB198" s="26">
        <f>IF(OR(K198="",L198=""),"",ABS(K198-L198)/Y198)</f>
        <v/>
      </c>
      <c r="AC198" s="26">
        <f>IF(OR(K198="",M198=""),"",ABS(M198-K198)/Y198)</f>
        <v/>
      </c>
      <c r="AD198" s="26">
        <f>IF(OR(K198="",O198=""),"",(O198-K198)*Z198/Y198)</f>
        <v/>
      </c>
      <c r="AE198" s="27">
        <f>IF(OR(AB198="",AB198=0,AC198=""),"",AC198/AB198)</f>
        <v/>
      </c>
      <c r="AF198" s="27">
        <f>IF(OR(AB198="",AB198=0,AD198=""),"",AD198/AB198)</f>
        <v/>
      </c>
      <c r="AG198" s="27">
        <f>IF(OR(C198="",P198=""),"",((P198+IF(Q198="",0,Q198))-(C198+IF(D198="",0,D198)))*24)</f>
        <v/>
      </c>
      <c r="AH198" s="18">
        <f>IF(AG198="","",INT(AG198/24)&amp;"d "&amp;INT(MOD(AG198,24))&amp;"h "&amp;INT(MOD(AG198*60,60))&amp;"m")</f>
        <v/>
      </c>
      <c r="AI198" s="28">
        <f>IF(OR(O198="",K198="",H198=""),"",IF(OR(E198="XAUUSD",RIGHT(E198,3)="USD"),(O198-K198)*Z198*AA198*H198,IF(LEFT(E198,3)="USD",IF(O198=0,"",(O198-K198)*Z198*AA198*H198/O198),AD198*10*H198)))</f>
        <v/>
      </c>
      <c r="AJ198" s="28">
        <f>IF(O198="","",IF(S198="",IF(AI198="",0,AI198),S198)-IF(R198="",0,R198))</f>
        <v/>
      </c>
      <c r="AK198" s="18">
        <f>IF(C198="","",IF(OR(O198="",P198=""),"Open",IF(ABS(AJ198)&lt;=BEThreshold,"BE",IF(AJ198&gt;0,"Win","Loss"))))</f>
        <v/>
      </c>
      <c r="AL198" s="28">
        <f>IF(OR(C198="",AK198="Open"),"",InitialCapital+SUMIFS($AJ$2:AJ198,$AK$2:AK198,"&lt;&gt;Open"))</f>
        <v/>
      </c>
      <c r="AM198" s="18">
        <f>IF(OR(C198="",AK198=""),"",IF(AK198="Open","No","Yes"))</f>
        <v/>
      </c>
    </row>
    <row r="199" ht="18" customHeight="1">
      <c r="A199" s="18">
        <f>IF(C199="","",COUNTA($C$2:C199))</f>
        <v/>
      </c>
      <c r="B199" s="18">
        <f>IF(C199="","",TEXT(C199,"dddd"))</f>
        <v/>
      </c>
      <c r="C199" s="19" t="n"/>
      <c r="D199" s="20" t="n"/>
      <c r="E199" s="21" t="n"/>
      <c r="F199" s="21" t="n"/>
      <c r="G199" s="21" t="n"/>
      <c r="H199" s="22" t="n"/>
      <c r="I199" s="23" t="n"/>
      <c r="J199" s="22" t="n"/>
      <c r="K199" s="24" t="n"/>
      <c r="L199" s="24" t="n"/>
      <c r="M199" s="24" t="n"/>
      <c r="N199" s="21" t="n"/>
      <c r="O199" s="24" t="n"/>
      <c r="P199" s="19" t="n"/>
      <c r="Q199" s="20" t="n"/>
      <c r="R199" s="23" t="n"/>
      <c r="S199" s="23" t="n"/>
      <c r="T199" s="21" t="n"/>
      <c r="U199" s="21" t="n"/>
      <c r="V199" s="21" t="n"/>
      <c r="W199" s="21" t="n"/>
      <c r="X199" s="21" t="n"/>
      <c r="Y199" s="25">
        <f>IF($C199="","",IF(E199="XAUUSD",0.1,IF(ISNUMBER(SEARCH("JPY",E199)),0.01,0.0001)))</f>
        <v/>
      </c>
      <c r="Z199" s="18">
        <f>IF($C199="","",IF(F199="Sell",-1,1))</f>
        <v/>
      </c>
      <c r="AA199" s="18">
        <f>IF($C199="","",IF(E199="XAUUSD",100,100000))</f>
        <v/>
      </c>
      <c r="AB199" s="26">
        <f>IF(OR(K199="",L199=""),"",ABS(K199-L199)/Y199)</f>
        <v/>
      </c>
      <c r="AC199" s="26">
        <f>IF(OR(K199="",M199=""),"",ABS(M199-K199)/Y199)</f>
        <v/>
      </c>
      <c r="AD199" s="26">
        <f>IF(OR(K199="",O199=""),"",(O199-K199)*Z199/Y199)</f>
        <v/>
      </c>
      <c r="AE199" s="27">
        <f>IF(OR(AB199="",AB199=0,AC199=""),"",AC199/AB199)</f>
        <v/>
      </c>
      <c r="AF199" s="27">
        <f>IF(OR(AB199="",AB199=0,AD199=""),"",AD199/AB199)</f>
        <v/>
      </c>
      <c r="AG199" s="27">
        <f>IF(OR(C199="",P199=""),"",((P199+IF(Q199="",0,Q199))-(C199+IF(D199="",0,D199)))*24)</f>
        <v/>
      </c>
      <c r="AH199" s="18">
        <f>IF(AG199="","",INT(AG199/24)&amp;"d "&amp;INT(MOD(AG199,24))&amp;"h "&amp;INT(MOD(AG199*60,60))&amp;"m")</f>
        <v/>
      </c>
      <c r="AI199" s="28">
        <f>IF(OR(O199="",K199="",H199=""),"",IF(OR(E199="XAUUSD",RIGHT(E199,3)="USD"),(O199-K199)*Z199*AA199*H199,IF(LEFT(E199,3)="USD",IF(O199=0,"",(O199-K199)*Z199*AA199*H199/O199),AD199*10*H199)))</f>
        <v/>
      </c>
      <c r="AJ199" s="28">
        <f>IF(O199="","",IF(S199="",IF(AI199="",0,AI199),S199)-IF(R199="",0,R199))</f>
        <v/>
      </c>
      <c r="AK199" s="18">
        <f>IF(C199="","",IF(OR(O199="",P199=""),"Open",IF(ABS(AJ199)&lt;=BEThreshold,"BE",IF(AJ199&gt;0,"Win","Loss"))))</f>
        <v/>
      </c>
      <c r="AL199" s="28">
        <f>IF(OR(C199="",AK199="Open"),"",InitialCapital+SUMIFS($AJ$2:AJ199,$AK$2:AK199,"&lt;&gt;Open"))</f>
        <v/>
      </c>
      <c r="AM199" s="18">
        <f>IF(OR(C199="",AK199=""),"",IF(AK199="Open","No","Yes"))</f>
        <v/>
      </c>
    </row>
    <row r="200" ht="18" customHeight="1">
      <c r="A200" s="18">
        <f>IF(C200="","",COUNTA($C$2:C200))</f>
        <v/>
      </c>
      <c r="B200" s="18">
        <f>IF(C200="","",TEXT(C200,"dddd"))</f>
        <v/>
      </c>
      <c r="C200" s="19" t="n"/>
      <c r="D200" s="20" t="n"/>
      <c r="E200" s="21" t="n"/>
      <c r="F200" s="21" t="n"/>
      <c r="G200" s="21" t="n"/>
      <c r="H200" s="22" t="n"/>
      <c r="I200" s="23" t="n"/>
      <c r="J200" s="22" t="n"/>
      <c r="K200" s="24" t="n"/>
      <c r="L200" s="24" t="n"/>
      <c r="M200" s="24" t="n"/>
      <c r="N200" s="21" t="n"/>
      <c r="O200" s="24" t="n"/>
      <c r="P200" s="19" t="n"/>
      <c r="Q200" s="20" t="n"/>
      <c r="R200" s="23" t="n"/>
      <c r="S200" s="23" t="n"/>
      <c r="T200" s="21" t="n"/>
      <c r="U200" s="21" t="n"/>
      <c r="V200" s="21" t="n"/>
      <c r="W200" s="21" t="n"/>
      <c r="X200" s="21" t="n"/>
      <c r="Y200" s="25">
        <f>IF($C200="","",IF(E200="XAUUSD",0.1,IF(ISNUMBER(SEARCH("JPY",E200)),0.01,0.0001)))</f>
        <v/>
      </c>
      <c r="Z200" s="18">
        <f>IF($C200="","",IF(F200="Sell",-1,1))</f>
        <v/>
      </c>
      <c r="AA200" s="18">
        <f>IF($C200="","",IF(E200="XAUUSD",100,100000))</f>
        <v/>
      </c>
      <c r="AB200" s="26">
        <f>IF(OR(K200="",L200=""),"",ABS(K200-L200)/Y200)</f>
        <v/>
      </c>
      <c r="AC200" s="26">
        <f>IF(OR(K200="",M200=""),"",ABS(M200-K200)/Y200)</f>
        <v/>
      </c>
      <c r="AD200" s="26">
        <f>IF(OR(K200="",O200=""),"",(O200-K200)*Z200/Y200)</f>
        <v/>
      </c>
      <c r="AE200" s="27">
        <f>IF(OR(AB200="",AB200=0,AC200=""),"",AC200/AB200)</f>
        <v/>
      </c>
      <c r="AF200" s="27">
        <f>IF(OR(AB200="",AB200=0,AD200=""),"",AD200/AB200)</f>
        <v/>
      </c>
      <c r="AG200" s="27">
        <f>IF(OR(C200="",P200=""),"",((P200+IF(Q200="",0,Q200))-(C200+IF(D200="",0,D200)))*24)</f>
        <v/>
      </c>
      <c r="AH200" s="18">
        <f>IF(AG200="","",INT(AG200/24)&amp;"d "&amp;INT(MOD(AG200,24))&amp;"h "&amp;INT(MOD(AG200*60,60))&amp;"m")</f>
        <v/>
      </c>
      <c r="AI200" s="28">
        <f>IF(OR(O200="",K200="",H200=""),"",IF(OR(E200="XAUUSD",RIGHT(E200,3)="USD"),(O200-K200)*Z200*AA200*H200,IF(LEFT(E200,3)="USD",IF(O200=0,"",(O200-K200)*Z200*AA200*H200/O200),AD200*10*H200)))</f>
        <v/>
      </c>
      <c r="AJ200" s="28">
        <f>IF(O200="","",IF(S200="",IF(AI200="",0,AI200),S200)-IF(R200="",0,R200))</f>
        <v/>
      </c>
      <c r="AK200" s="18">
        <f>IF(C200="","",IF(OR(O200="",P200=""),"Open",IF(ABS(AJ200)&lt;=BEThreshold,"BE",IF(AJ200&gt;0,"Win","Loss"))))</f>
        <v/>
      </c>
      <c r="AL200" s="28">
        <f>IF(OR(C200="",AK200="Open"),"",InitialCapital+SUMIFS($AJ$2:AJ200,$AK$2:AK200,"&lt;&gt;Open"))</f>
        <v/>
      </c>
      <c r="AM200" s="18">
        <f>IF(OR(C200="",AK200=""),"",IF(AK200="Open","No","Yes"))</f>
        <v/>
      </c>
    </row>
    <row r="201" ht="18" customHeight="1">
      <c r="A201" s="18">
        <f>IF(C201="","",COUNTA($C$2:C201))</f>
        <v/>
      </c>
      <c r="B201" s="18">
        <f>IF(C201="","",TEXT(C201,"dddd"))</f>
        <v/>
      </c>
      <c r="C201" s="19" t="n"/>
      <c r="D201" s="20" t="n"/>
      <c r="E201" s="21" t="n"/>
      <c r="F201" s="21" t="n"/>
      <c r="G201" s="21" t="n"/>
      <c r="H201" s="22" t="n"/>
      <c r="I201" s="23" t="n"/>
      <c r="J201" s="22" t="n"/>
      <c r="K201" s="24" t="n"/>
      <c r="L201" s="24" t="n"/>
      <c r="M201" s="24" t="n"/>
      <c r="N201" s="21" t="n"/>
      <c r="O201" s="24" t="n"/>
      <c r="P201" s="19" t="n"/>
      <c r="Q201" s="20" t="n"/>
      <c r="R201" s="23" t="n"/>
      <c r="S201" s="23" t="n"/>
      <c r="T201" s="21" t="n"/>
      <c r="U201" s="21" t="n"/>
      <c r="V201" s="21" t="n"/>
      <c r="W201" s="21" t="n"/>
      <c r="X201" s="21" t="n"/>
      <c r="Y201" s="25">
        <f>IF($C201="","",IF(E201="XAUUSD",0.1,IF(ISNUMBER(SEARCH("JPY",E201)),0.01,0.0001)))</f>
        <v/>
      </c>
      <c r="Z201" s="18">
        <f>IF($C201="","",IF(F201="Sell",-1,1))</f>
        <v/>
      </c>
      <c r="AA201" s="18">
        <f>IF($C201="","",IF(E201="XAUUSD",100,100000))</f>
        <v/>
      </c>
      <c r="AB201" s="26">
        <f>IF(OR(K201="",L201=""),"",ABS(K201-L201)/Y201)</f>
        <v/>
      </c>
      <c r="AC201" s="26">
        <f>IF(OR(K201="",M201=""),"",ABS(M201-K201)/Y201)</f>
        <v/>
      </c>
      <c r="AD201" s="26">
        <f>IF(OR(K201="",O201=""),"",(O201-K201)*Z201/Y201)</f>
        <v/>
      </c>
      <c r="AE201" s="27">
        <f>IF(OR(AB201="",AB201=0,AC201=""),"",AC201/AB201)</f>
        <v/>
      </c>
      <c r="AF201" s="27">
        <f>IF(OR(AB201="",AB201=0,AD201=""),"",AD201/AB201)</f>
        <v/>
      </c>
      <c r="AG201" s="27">
        <f>IF(OR(C201="",P201=""),"",((P201+IF(Q201="",0,Q201))-(C201+IF(D201="",0,D201)))*24)</f>
        <v/>
      </c>
      <c r="AH201" s="18">
        <f>IF(AG201="","",INT(AG201/24)&amp;"d "&amp;INT(MOD(AG201,24))&amp;"h "&amp;INT(MOD(AG201*60,60))&amp;"m")</f>
        <v/>
      </c>
      <c r="AI201" s="28">
        <f>IF(OR(O201="",K201="",H201=""),"",IF(OR(E201="XAUUSD",RIGHT(E201,3)="USD"),(O201-K201)*Z201*AA201*H201,IF(LEFT(E201,3)="USD",IF(O201=0,"",(O201-K201)*Z201*AA201*H201/O201),AD201*10*H201)))</f>
        <v/>
      </c>
      <c r="AJ201" s="28">
        <f>IF(O201="","",IF(S201="",IF(AI201="",0,AI201),S201)-IF(R201="",0,R201))</f>
        <v/>
      </c>
      <c r="AK201" s="18">
        <f>IF(C201="","",IF(OR(O201="",P201=""),"Open",IF(ABS(AJ201)&lt;=BEThreshold,"BE",IF(AJ201&gt;0,"Win","Loss"))))</f>
        <v/>
      </c>
      <c r="AL201" s="28">
        <f>IF(OR(C201="",AK201="Open"),"",InitialCapital+SUMIFS($AJ$2:AJ201,$AK$2:AK201,"&lt;&gt;Open"))</f>
        <v/>
      </c>
      <c r="AM201" s="18">
        <f>IF(OR(C201="",AK201=""),"",IF(AK201="Open","No","Yes"))</f>
        <v/>
      </c>
    </row>
    <row r="202" ht="18" customHeight="1">
      <c r="A202" s="18">
        <f>IF(C202="","",COUNTA($C$2:C202))</f>
        <v/>
      </c>
      <c r="B202" s="18">
        <f>IF(C202="","",TEXT(C202,"dddd"))</f>
        <v/>
      </c>
      <c r="C202" s="19" t="n"/>
      <c r="D202" s="20" t="n"/>
      <c r="E202" s="21" t="n"/>
      <c r="F202" s="21" t="n"/>
      <c r="G202" s="21" t="n"/>
      <c r="H202" s="22" t="n"/>
      <c r="I202" s="23" t="n"/>
      <c r="J202" s="22" t="n"/>
      <c r="K202" s="24" t="n"/>
      <c r="L202" s="24" t="n"/>
      <c r="M202" s="24" t="n"/>
      <c r="N202" s="21" t="n"/>
      <c r="O202" s="24" t="n"/>
      <c r="P202" s="19" t="n"/>
      <c r="Q202" s="20" t="n"/>
      <c r="R202" s="23" t="n"/>
      <c r="S202" s="23" t="n"/>
      <c r="T202" s="21" t="n"/>
      <c r="U202" s="21" t="n"/>
      <c r="V202" s="21" t="n"/>
      <c r="W202" s="21" t="n"/>
      <c r="X202" s="21" t="n"/>
      <c r="Y202" s="25">
        <f>IF($C202="","",IF(E202="XAUUSD",0.1,IF(ISNUMBER(SEARCH("JPY",E202)),0.01,0.0001)))</f>
        <v/>
      </c>
      <c r="Z202" s="18">
        <f>IF($C202="","",IF(F202="Sell",-1,1))</f>
        <v/>
      </c>
      <c r="AA202" s="18">
        <f>IF($C202="","",IF(E202="XAUUSD",100,100000))</f>
        <v/>
      </c>
      <c r="AB202" s="26">
        <f>IF(OR(K202="",L202=""),"",ABS(K202-L202)/Y202)</f>
        <v/>
      </c>
      <c r="AC202" s="26">
        <f>IF(OR(K202="",M202=""),"",ABS(M202-K202)/Y202)</f>
        <v/>
      </c>
      <c r="AD202" s="26">
        <f>IF(OR(K202="",O202=""),"",(O202-K202)*Z202/Y202)</f>
        <v/>
      </c>
      <c r="AE202" s="27">
        <f>IF(OR(AB202="",AB202=0,AC202=""),"",AC202/AB202)</f>
        <v/>
      </c>
      <c r="AF202" s="27">
        <f>IF(OR(AB202="",AB202=0,AD202=""),"",AD202/AB202)</f>
        <v/>
      </c>
      <c r="AG202" s="27">
        <f>IF(OR(C202="",P202=""),"",((P202+IF(Q202="",0,Q202))-(C202+IF(D202="",0,D202)))*24)</f>
        <v/>
      </c>
      <c r="AH202" s="18">
        <f>IF(AG202="","",INT(AG202/24)&amp;"d "&amp;INT(MOD(AG202,24))&amp;"h "&amp;INT(MOD(AG202*60,60))&amp;"m")</f>
        <v/>
      </c>
      <c r="AI202" s="28">
        <f>IF(OR(O202="",K202="",H202=""),"",IF(OR(E202="XAUUSD",RIGHT(E202,3)="USD"),(O202-K202)*Z202*AA202*H202,IF(LEFT(E202,3)="USD",IF(O202=0,"",(O202-K202)*Z202*AA202*H202/O202),AD202*10*H202)))</f>
        <v/>
      </c>
      <c r="AJ202" s="28">
        <f>IF(O202="","",IF(S202="",IF(AI202="",0,AI202),S202)-IF(R202="",0,R202))</f>
        <v/>
      </c>
      <c r="AK202" s="18">
        <f>IF(C202="","",IF(OR(O202="",P202=""),"Open",IF(ABS(AJ202)&lt;=BEThreshold,"BE",IF(AJ202&gt;0,"Win","Loss"))))</f>
        <v/>
      </c>
      <c r="AL202" s="28">
        <f>IF(OR(C202="",AK202="Open"),"",InitialCapital+SUMIFS($AJ$2:AJ202,$AK$2:AK202,"&lt;&gt;Open"))</f>
        <v/>
      </c>
      <c r="AM202" s="18">
        <f>IF(OR(C202="",AK202=""),"",IF(AK202="Open","No","Yes"))</f>
        <v/>
      </c>
    </row>
    <row r="203" ht="18" customHeight="1">
      <c r="A203" s="18">
        <f>IF(C203="","",COUNTA($C$2:C203))</f>
        <v/>
      </c>
      <c r="B203" s="18">
        <f>IF(C203="","",TEXT(C203,"dddd"))</f>
        <v/>
      </c>
      <c r="C203" s="19" t="n"/>
      <c r="D203" s="20" t="n"/>
      <c r="E203" s="21" t="n"/>
      <c r="F203" s="21" t="n"/>
      <c r="G203" s="21" t="n"/>
      <c r="H203" s="22" t="n"/>
      <c r="I203" s="23" t="n"/>
      <c r="J203" s="22" t="n"/>
      <c r="K203" s="24" t="n"/>
      <c r="L203" s="24" t="n"/>
      <c r="M203" s="24" t="n"/>
      <c r="N203" s="21" t="n"/>
      <c r="O203" s="24" t="n"/>
      <c r="P203" s="19" t="n"/>
      <c r="Q203" s="20" t="n"/>
      <c r="R203" s="23" t="n"/>
      <c r="S203" s="23" t="n"/>
      <c r="T203" s="21" t="n"/>
      <c r="U203" s="21" t="n"/>
      <c r="V203" s="21" t="n"/>
      <c r="W203" s="21" t="n"/>
      <c r="X203" s="21" t="n"/>
      <c r="Y203" s="25">
        <f>IF($C203="","",IF(E203="XAUUSD",0.1,IF(ISNUMBER(SEARCH("JPY",E203)),0.01,0.0001)))</f>
        <v/>
      </c>
      <c r="Z203" s="18">
        <f>IF($C203="","",IF(F203="Sell",-1,1))</f>
        <v/>
      </c>
      <c r="AA203" s="18">
        <f>IF($C203="","",IF(E203="XAUUSD",100,100000))</f>
        <v/>
      </c>
      <c r="AB203" s="26">
        <f>IF(OR(K203="",L203=""),"",ABS(K203-L203)/Y203)</f>
        <v/>
      </c>
      <c r="AC203" s="26">
        <f>IF(OR(K203="",M203=""),"",ABS(M203-K203)/Y203)</f>
        <v/>
      </c>
      <c r="AD203" s="26">
        <f>IF(OR(K203="",O203=""),"",(O203-K203)*Z203/Y203)</f>
        <v/>
      </c>
      <c r="AE203" s="27">
        <f>IF(OR(AB203="",AB203=0,AC203=""),"",AC203/AB203)</f>
        <v/>
      </c>
      <c r="AF203" s="27">
        <f>IF(OR(AB203="",AB203=0,AD203=""),"",AD203/AB203)</f>
        <v/>
      </c>
      <c r="AG203" s="27">
        <f>IF(OR(C203="",P203=""),"",((P203+IF(Q203="",0,Q203))-(C203+IF(D203="",0,D203)))*24)</f>
        <v/>
      </c>
      <c r="AH203" s="18">
        <f>IF(AG203="","",INT(AG203/24)&amp;"d "&amp;INT(MOD(AG203,24))&amp;"h "&amp;INT(MOD(AG203*60,60))&amp;"m")</f>
        <v/>
      </c>
      <c r="AI203" s="28">
        <f>IF(OR(O203="",K203="",H203=""),"",IF(OR(E203="XAUUSD",RIGHT(E203,3)="USD"),(O203-K203)*Z203*AA203*H203,IF(LEFT(E203,3)="USD",IF(O203=0,"",(O203-K203)*Z203*AA203*H203/O203),AD203*10*H203)))</f>
        <v/>
      </c>
      <c r="AJ203" s="28">
        <f>IF(O203="","",IF(S203="",IF(AI203="",0,AI203),S203)-IF(R203="",0,R203))</f>
        <v/>
      </c>
      <c r="AK203" s="18">
        <f>IF(C203="","",IF(OR(O203="",P203=""),"Open",IF(ABS(AJ203)&lt;=BEThreshold,"BE",IF(AJ203&gt;0,"Win","Loss"))))</f>
        <v/>
      </c>
      <c r="AL203" s="28">
        <f>IF(OR(C203="",AK203="Open"),"",InitialCapital+SUMIFS($AJ$2:AJ203,$AK$2:AK203,"&lt;&gt;Open"))</f>
        <v/>
      </c>
      <c r="AM203" s="18">
        <f>IF(OR(C203="",AK203=""),"",IF(AK203="Open","No","Yes"))</f>
        <v/>
      </c>
    </row>
    <row r="204" ht="18" customHeight="1">
      <c r="A204" s="18">
        <f>IF(C204="","",COUNTA($C$2:C204))</f>
        <v/>
      </c>
      <c r="B204" s="18">
        <f>IF(C204="","",TEXT(C204,"dddd"))</f>
        <v/>
      </c>
      <c r="C204" s="19" t="n"/>
      <c r="D204" s="20" t="n"/>
      <c r="E204" s="21" t="n"/>
      <c r="F204" s="21" t="n"/>
      <c r="G204" s="21" t="n"/>
      <c r="H204" s="22" t="n"/>
      <c r="I204" s="23" t="n"/>
      <c r="J204" s="22" t="n"/>
      <c r="K204" s="24" t="n"/>
      <c r="L204" s="24" t="n"/>
      <c r="M204" s="24" t="n"/>
      <c r="N204" s="21" t="n"/>
      <c r="O204" s="24" t="n"/>
      <c r="P204" s="19" t="n"/>
      <c r="Q204" s="20" t="n"/>
      <c r="R204" s="23" t="n"/>
      <c r="S204" s="23" t="n"/>
      <c r="T204" s="21" t="n"/>
      <c r="U204" s="21" t="n"/>
      <c r="V204" s="21" t="n"/>
      <c r="W204" s="21" t="n"/>
      <c r="X204" s="21" t="n"/>
      <c r="Y204" s="25">
        <f>IF($C204="","",IF(E204="XAUUSD",0.1,IF(ISNUMBER(SEARCH("JPY",E204)),0.01,0.0001)))</f>
        <v/>
      </c>
      <c r="Z204" s="18">
        <f>IF($C204="","",IF(F204="Sell",-1,1))</f>
        <v/>
      </c>
      <c r="AA204" s="18">
        <f>IF($C204="","",IF(E204="XAUUSD",100,100000))</f>
        <v/>
      </c>
      <c r="AB204" s="26">
        <f>IF(OR(K204="",L204=""),"",ABS(K204-L204)/Y204)</f>
        <v/>
      </c>
      <c r="AC204" s="26">
        <f>IF(OR(K204="",M204=""),"",ABS(M204-K204)/Y204)</f>
        <v/>
      </c>
      <c r="AD204" s="26">
        <f>IF(OR(K204="",O204=""),"",(O204-K204)*Z204/Y204)</f>
        <v/>
      </c>
      <c r="AE204" s="27">
        <f>IF(OR(AB204="",AB204=0,AC204=""),"",AC204/AB204)</f>
        <v/>
      </c>
      <c r="AF204" s="27">
        <f>IF(OR(AB204="",AB204=0,AD204=""),"",AD204/AB204)</f>
        <v/>
      </c>
      <c r="AG204" s="27">
        <f>IF(OR(C204="",P204=""),"",((P204+IF(Q204="",0,Q204))-(C204+IF(D204="",0,D204)))*24)</f>
        <v/>
      </c>
      <c r="AH204" s="18">
        <f>IF(AG204="","",INT(AG204/24)&amp;"d "&amp;INT(MOD(AG204,24))&amp;"h "&amp;INT(MOD(AG204*60,60))&amp;"m")</f>
        <v/>
      </c>
      <c r="AI204" s="28">
        <f>IF(OR(O204="",K204="",H204=""),"",IF(OR(E204="XAUUSD",RIGHT(E204,3)="USD"),(O204-K204)*Z204*AA204*H204,IF(LEFT(E204,3)="USD",IF(O204=0,"",(O204-K204)*Z204*AA204*H204/O204),AD204*10*H204)))</f>
        <v/>
      </c>
      <c r="AJ204" s="28">
        <f>IF(O204="","",IF(S204="",IF(AI204="",0,AI204),S204)-IF(R204="",0,R204))</f>
        <v/>
      </c>
      <c r="AK204" s="18">
        <f>IF(C204="","",IF(OR(O204="",P204=""),"Open",IF(ABS(AJ204)&lt;=BEThreshold,"BE",IF(AJ204&gt;0,"Win","Loss"))))</f>
        <v/>
      </c>
      <c r="AL204" s="28">
        <f>IF(OR(C204="",AK204="Open"),"",InitialCapital+SUMIFS($AJ$2:AJ204,$AK$2:AK204,"&lt;&gt;Open"))</f>
        <v/>
      </c>
      <c r="AM204" s="18">
        <f>IF(OR(C204="",AK204=""),"",IF(AK204="Open","No","Yes"))</f>
        <v/>
      </c>
    </row>
    <row r="205" ht="18" customHeight="1">
      <c r="A205" s="18">
        <f>IF(C205="","",COUNTA($C$2:C205))</f>
        <v/>
      </c>
      <c r="B205" s="18">
        <f>IF(C205="","",TEXT(C205,"dddd"))</f>
        <v/>
      </c>
      <c r="C205" s="19" t="n"/>
      <c r="D205" s="20" t="n"/>
      <c r="E205" s="21" t="n"/>
      <c r="F205" s="21" t="n"/>
      <c r="G205" s="21" t="n"/>
      <c r="H205" s="22" t="n"/>
      <c r="I205" s="23" t="n"/>
      <c r="J205" s="22" t="n"/>
      <c r="K205" s="24" t="n"/>
      <c r="L205" s="24" t="n"/>
      <c r="M205" s="24" t="n"/>
      <c r="N205" s="21" t="n"/>
      <c r="O205" s="24" t="n"/>
      <c r="P205" s="19" t="n"/>
      <c r="Q205" s="20" t="n"/>
      <c r="R205" s="23" t="n"/>
      <c r="S205" s="23" t="n"/>
      <c r="T205" s="21" t="n"/>
      <c r="U205" s="21" t="n"/>
      <c r="V205" s="21" t="n"/>
      <c r="W205" s="21" t="n"/>
      <c r="X205" s="21" t="n"/>
      <c r="Y205" s="25">
        <f>IF($C205="","",IF(E205="XAUUSD",0.1,IF(ISNUMBER(SEARCH("JPY",E205)),0.01,0.0001)))</f>
        <v/>
      </c>
      <c r="Z205" s="18">
        <f>IF($C205="","",IF(F205="Sell",-1,1))</f>
        <v/>
      </c>
      <c r="AA205" s="18">
        <f>IF($C205="","",IF(E205="XAUUSD",100,100000))</f>
        <v/>
      </c>
      <c r="AB205" s="26">
        <f>IF(OR(K205="",L205=""),"",ABS(K205-L205)/Y205)</f>
        <v/>
      </c>
      <c r="AC205" s="26">
        <f>IF(OR(K205="",M205=""),"",ABS(M205-K205)/Y205)</f>
        <v/>
      </c>
      <c r="AD205" s="26">
        <f>IF(OR(K205="",O205=""),"",(O205-K205)*Z205/Y205)</f>
        <v/>
      </c>
      <c r="AE205" s="27">
        <f>IF(OR(AB205="",AB205=0,AC205=""),"",AC205/AB205)</f>
        <v/>
      </c>
      <c r="AF205" s="27">
        <f>IF(OR(AB205="",AB205=0,AD205=""),"",AD205/AB205)</f>
        <v/>
      </c>
      <c r="AG205" s="27">
        <f>IF(OR(C205="",P205=""),"",((P205+IF(Q205="",0,Q205))-(C205+IF(D205="",0,D205)))*24)</f>
        <v/>
      </c>
      <c r="AH205" s="18">
        <f>IF(AG205="","",INT(AG205/24)&amp;"d "&amp;INT(MOD(AG205,24))&amp;"h "&amp;INT(MOD(AG205*60,60))&amp;"m")</f>
        <v/>
      </c>
      <c r="AI205" s="28">
        <f>IF(OR(O205="",K205="",H205=""),"",IF(OR(E205="XAUUSD",RIGHT(E205,3)="USD"),(O205-K205)*Z205*AA205*H205,IF(LEFT(E205,3)="USD",IF(O205=0,"",(O205-K205)*Z205*AA205*H205/O205),AD205*10*H205)))</f>
        <v/>
      </c>
      <c r="AJ205" s="28">
        <f>IF(O205="","",IF(S205="",IF(AI205="",0,AI205),S205)-IF(R205="",0,R205))</f>
        <v/>
      </c>
      <c r="AK205" s="18">
        <f>IF(C205="","",IF(OR(O205="",P205=""),"Open",IF(ABS(AJ205)&lt;=BEThreshold,"BE",IF(AJ205&gt;0,"Win","Loss"))))</f>
        <v/>
      </c>
      <c r="AL205" s="28">
        <f>IF(OR(C205="",AK205="Open"),"",InitialCapital+SUMIFS($AJ$2:AJ205,$AK$2:AK205,"&lt;&gt;Open"))</f>
        <v/>
      </c>
      <c r="AM205" s="18">
        <f>IF(OR(C205="",AK205=""),"",IF(AK205="Open","No","Yes"))</f>
        <v/>
      </c>
    </row>
    <row r="206" ht="18" customHeight="1">
      <c r="A206" s="18">
        <f>IF(C206="","",COUNTA($C$2:C206))</f>
        <v/>
      </c>
      <c r="B206" s="18">
        <f>IF(C206="","",TEXT(C206,"dddd"))</f>
        <v/>
      </c>
      <c r="C206" s="19" t="n"/>
      <c r="D206" s="20" t="n"/>
      <c r="E206" s="21" t="n"/>
      <c r="F206" s="21" t="n"/>
      <c r="G206" s="21" t="n"/>
      <c r="H206" s="22" t="n"/>
      <c r="I206" s="23" t="n"/>
      <c r="J206" s="22" t="n"/>
      <c r="K206" s="24" t="n"/>
      <c r="L206" s="24" t="n"/>
      <c r="M206" s="24" t="n"/>
      <c r="N206" s="21" t="n"/>
      <c r="O206" s="24" t="n"/>
      <c r="P206" s="19" t="n"/>
      <c r="Q206" s="20" t="n"/>
      <c r="R206" s="23" t="n"/>
      <c r="S206" s="23" t="n"/>
      <c r="T206" s="21" t="n"/>
      <c r="U206" s="21" t="n"/>
      <c r="V206" s="21" t="n"/>
      <c r="W206" s="21" t="n"/>
      <c r="X206" s="21" t="n"/>
      <c r="Y206" s="25">
        <f>IF($C206="","",IF(E206="XAUUSD",0.1,IF(ISNUMBER(SEARCH("JPY",E206)),0.01,0.0001)))</f>
        <v/>
      </c>
      <c r="Z206" s="18">
        <f>IF($C206="","",IF(F206="Sell",-1,1))</f>
        <v/>
      </c>
      <c r="AA206" s="18">
        <f>IF($C206="","",IF(E206="XAUUSD",100,100000))</f>
        <v/>
      </c>
      <c r="AB206" s="26">
        <f>IF(OR(K206="",L206=""),"",ABS(K206-L206)/Y206)</f>
        <v/>
      </c>
      <c r="AC206" s="26">
        <f>IF(OR(K206="",M206=""),"",ABS(M206-K206)/Y206)</f>
        <v/>
      </c>
      <c r="AD206" s="26">
        <f>IF(OR(K206="",O206=""),"",(O206-K206)*Z206/Y206)</f>
        <v/>
      </c>
      <c r="AE206" s="27">
        <f>IF(OR(AB206="",AB206=0,AC206=""),"",AC206/AB206)</f>
        <v/>
      </c>
      <c r="AF206" s="27">
        <f>IF(OR(AB206="",AB206=0,AD206=""),"",AD206/AB206)</f>
        <v/>
      </c>
      <c r="AG206" s="27">
        <f>IF(OR(C206="",P206=""),"",((P206+IF(Q206="",0,Q206))-(C206+IF(D206="",0,D206)))*24)</f>
        <v/>
      </c>
      <c r="AH206" s="18">
        <f>IF(AG206="","",INT(AG206/24)&amp;"d "&amp;INT(MOD(AG206,24))&amp;"h "&amp;INT(MOD(AG206*60,60))&amp;"m")</f>
        <v/>
      </c>
      <c r="AI206" s="28">
        <f>IF(OR(O206="",K206="",H206=""),"",IF(OR(E206="XAUUSD",RIGHT(E206,3)="USD"),(O206-K206)*Z206*AA206*H206,IF(LEFT(E206,3)="USD",IF(O206=0,"",(O206-K206)*Z206*AA206*H206/O206),AD206*10*H206)))</f>
        <v/>
      </c>
      <c r="AJ206" s="28">
        <f>IF(O206="","",IF(S206="",IF(AI206="",0,AI206),S206)-IF(R206="",0,R206))</f>
        <v/>
      </c>
      <c r="AK206" s="18">
        <f>IF(C206="","",IF(OR(O206="",P206=""),"Open",IF(ABS(AJ206)&lt;=BEThreshold,"BE",IF(AJ206&gt;0,"Win","Loss"))))</f>
        <v/>
      </c>
      <c r="AL206" s="28">
        <f>IF(OR(C206="",AK206="Open"),"",InitialCapital+SUMIFS($AJ$2:AJ206,$AK$2:AK206,"&lt;&gt;Open"))</f>
        <v/>
      </c>
      <c r="AM206" s="18">
        <f>IF(OR(C206="",AK206=""),"",IF(AK206="Open","No","Yes"))</f>
        <v/>
      </c>
    </row>
    <row r="207" ht="18" customHeight="1">
      <c r="A207" s="18">
        <f>IF(C207="","",COUNTA($C$2:C207))</f>
        <v/>
      </c>
      <c r="B207" s="18">
        <f>IF(C207="","",TEXT(C207,"dddd"))</f>
        <v/>
      </c>
      <c r="C207" s="19" t="n"/>
      <c r="D207" s="20" t="n"/>
      <c r="E207" s="21" t="n"/>
      <c r="F207" s="21" t="n"/>
      <c r="G207" s="21" t="n"/>
      <c r="H207" s="22" t="n"/>
      <c r="I207" s="23" t="n"/>
      <c r="J207" s="22" t="n"/>
      <c r="K207" s="24" t="n"/>
      <c r="L207" s="24" t="n"/>
      <c r="M207" s="24" t="n"/>
      <c r="N207" s="21" t="n"/>
      <c r="O207" s="24" t="n"/>
      <c r="P207" s="19" t="n"/>
      <c r="Q207" s="20" t="n"/>
      <c r="R207" s="23" t="n"/>
      <c r="S207" s="23" t="n"/>
      <c r="T207" s="21" t="n"/>
      <c r="U207" s="21" t="n"/>
      <c r="V207" s="21" t="n"/>
      <c r="W207" s="21" t="n"/>
      <c r="X207" s="21" t="n"/>
      <c r="Y207" s="25">
        <f>IF($C207="","",IF(E207="XAUUSD",0.1,IF(ISNUMBER(SEARCH("JPY",E207)),0.01,0.0001)))</f>
        <v/>
      </c>
      <c r="Z207" s="18">
        <f>IF($C207="","",IF(F207="Sell",-1,1))</f>
        <v/>
      </c>
      <c r="AA207" s="18">
        <f>IF($C207="","",IF(E207="XAUUSD",100,100000))</f>
        <v/>
      </c>
      <c r="AB207" s="26">
        <f>IF(OR(K207="",L207=""),"",ABS(K207-L207)/Y207)</f>
        <v/>
      </c>
      <c r="AC207" s="26">
        <f>IF(OR(K207="",M207=""),"",ABS(M207-K207)/Y207)</f>
        <v/>
      </c>
      <c r="AD207" s="26">
        <f>IF(OR(K207="",O207=""),"",(O207-K207)*Z207/Y207)</f>
        <v/>
      </c>
      <c r="AE207" s="27">
        <f>IF(OR(AB207="",AB207=0,AC207=""),"",AC207/AB207)</f>
        <v/>
      </c>
      <c r="AF207" s="27">
        <f>IF(OR(AB207="",AB207=0,AD207=""),"",AD207/AB207)</f>
        <v/>
      </c>
      <c r="AG207" s="27">
        <f>IF(OR(C207="",P207=""),"",((P207+IF(Q207="",0,Q207))-(C207+IF(D207="",0,D207)))*24)</f>
        <v/>
      </c>
      <c r="AH207" s="18">
        <f>IF(AG207="","",INT(AG207/24)&amp;"d "&amp;INT(MOD(AG207,24))&amp;"h "&amp;INT(MOD(AG207*60,60))&amp;"m")</f>
        <v/>
      </c>
      <c r="AI207" s="28">
        <f>IF(OR(O207="",K207="",H207=""),"",IF(OR(E207="XAUUSD",RIGHT(E207,3)="USD"),(O207-K207)*Z207*AA207*H207,IF(LEFT(E207,3)="USD",IF(O207=0,"",(O207-K207)*Z207*AA207*H207/O207),AD207*10*H207)))</f>
        <v/>
      </c>
      <c r="AJ207" s="28">
        <f>IF(O207="","",IF(S207="",IF(AI207="",0,AI207),S207)-IF(R207="",0,R207))</f>
        <v/>
      </c>
      <c r="AK207" s="18">
        <f>IF(C207="","",IF(OR(O207="",P207=""),"Open",IF(ABS(AJ207)&lt;=BEThreshold,"BE",IF(AJ207&gt;0,"Win","Loss"))))</f>
        <v/>
      </c>
      <c r="AL207" s="28">
        <f>IF(OR(C207="",AK207="Open"),"",InitialCapital+SUMIFS($AJ$2:AJ207,$AK$2:AK207,"&lt;&gt;Open"))</f>
        <v/>
      </c>
      <c r="AM207" s="18">
        <f>IF(OR(C207="",AK207=""),"",IF(AK207="Open","No","Yes"))</f>
        <v/>
      </c>
    </row>
    <row r="208" ht="18" customHeight="1">
      <c r="A208" s="18">
        <f>IF(C208="","",COUNTA($C$2:C208))</f>
        <v/>
      </c>
      <c r="B208" s="18">
        <f>IF(C208="","",TEXT(C208,"dddd"))</f>
        <v/>
      </c>
      <c r="C208" s="19" t="n"/>
      <c r="D208" s="20" t="n"/>
      <c r="E208" s="21" t="n"/>
      <c r="F208" s="21" t="n"/>
      <c r="G208" s="21" t="n"/>
      <c r="H208" s="22" t="n"/>
      <c r="I208" s="23" t="n"/>
      <c r="J208" s="22" t="n"/>
      <c r="K208" s="24" t="n"/>
      <c r="L208" s="24" t="n"/>
      <c r="M208" s="24" t="n"/>
      <c r="N208" s="21" t="n"/>
      <c r="O208" s="24" t="n"/>
      <c r="P208" s="19" t="n"/>
      <c r="Q208" s="20" t="n"/>
      <c r="R208" s="23" t="n"/>
      <c r="S208" s="23" t="n"/>
      <c r="T208" s="21" t="n"/>
      <c r="U208" s="21" t="n"/>
      <c r="V208" s="21" t="n"/>
      <c r="W208" s="21" t="n"/>
      <c r="X208" s="21" t="n"/>
      <c r="Y208" s="25">
        <f>IF($C208="","",IF(E208="XAUUSD",0.1,IF(ISNUMBER(SEARCH("JPY",E208)),0.01,0.0001)))</f>
        <v/>
      </c>
      <c r="Z208" s="18">
        <f>IF($C208="","",IF(F208="Sell",-1,1))</f>
        <v/>
      </c>
      <c r="AA208" s="18">
        <f>IF($C208="","",IF(E208="XAUUSD",100,100000))</f>
        <v/>
      </c>
      <c r="AB208" s="26">
        <f>IF(OR(K208="",L208=""),"",ABS(K208-L208)/Y208)</f>
        <v/>
      </c>
      <c r="AC208" s="26">
        <f>IF(OR(K208="",M208=""),"",ABS(M208-K208)/Y208)</f>
        <v/>
      </c>
      <c r="AD208" s="26">
        <f>IF(OR(K208="",O208=""),"",(O208-K208)*Z208/Y208)</f>
        <v/>
      </c>
      <c r="AE208" s="27">
        <f>IF(OR(AB208="",AB208=0,AC208=""),"",AC208/AB208)</f>
        <v/>
      </c>
      <c r="AF208" s="27">
        <f>IF(OR(AB208="",AB208=0,AD208=""),"",AD208/AB208)</f>
        <v/>
      </c>
      <c r="AG208" s="27">
        <f>IF(OR(C208="",P208=""),"",((P208+IF(Q208="",0,Q208))-(C208+IF(D208="",0,D208)))*24)</f>
        <v/>
      </c>
      <c r="AH208" s="18">
        <f>IF(AG208="","",INT(AG208/24)&amp;"d "&amp;INT(MOD(AG208,24))&amp;"h "&amp;INT(MOD(AG208*60,60))&amp;"m")</f>
        <v/>
      </c>
      <c r="AI208" s="28">
        <f>IF(OR(O208="",K208="",H208=""),"",IF(OR(E208="XAUUSD",RIGHT(E208,3)="USD"),(O208-K208)*Z208*AA208*H208,IF(LEFT(E208,3)="USD",IF(O208=0,"",(O208-K208)*Z208*AA208*H208/O208),AD208*10*H208)))</f>
        <v/>
      </c>
      <c r="AJ208" s="28">
        <f>IF(O208="","",IF(S208="",IF(AI208="",0,AI208),S208)-IF(R208="",0,R208))</f>
        <v/>
      </c>
      <c r="AK208" s="18">
        <f>IF(C208="","",IF(OR(O208="",P208=""),"Open",IF(ABS(AJ208)&lt;=BEThreshold,"BE",IF(AJ208&gt;0,"Win","Loss"))))</f>
        <v/>
      </c>
      <c r="AL208" s="28">
        <f>IF(OR(C208="",AK208="Open"),"",InitialCapital+SUMIFS($AJ$2:AJ208,$AK$2:AK208,"&lt;&gt;Open"))</f>
        <v/>
      </c>
      <c r="AM208" s="18">
        <f>IF(OR(C208="",AK208=""),"",IF(AK208="Open","No","Yes"))</f>
        <v/>
      </c>
    </row>
    <row r="209" ht="18" customHeight="1">
      <c r="A209" s="18">
        <f>IF(C209="","",COUNTA($C$2:C209))</f>
        <v/>
      </c>
      <c r="B209" s="18">
        <f>IF(C209="","",TEXT(C209,"dddd"))</f>
        <v/>
      </c>
      <c r="C209" s="19" t="n"/>
      <c r="D209" s="20" t="n"/>
      <c r="E209" s="21" t="n"/>
      <c r="F209" s="21" t="n"/>
      <c r="G209" s="21" t="n"/>
      <c r="H209" s="22" t="n"/>
      <c r="I209" s="23" t="n"/>
      <c r="J209" s="22" t="n"/>
      <c r="K209" s="24" t="n"/>
      <c r="L209" s="24" t="n"/>
      <c r="M209" s="24" t="n"/>
      <c r="N209" s="21" t="n"/>
      <c r="O209" s="24" t="n"/>
      <c r="P209" s="19" t="n"/>
      <c r="Q209" s="20" t="n"/>
      <c r="R209" s="23" t="n"/>
      <c r="S209" s="23" t="n"/>
      <c r="T209" s="21" t="n"/>
      <c r="U209" s="21" t="n"/>
      <c r="V209" s="21" t="n"/>
      <c r="W209" s="21" t="n"/>
      <c r="X209" s="21" t="n"/>
      <c r="Y209" s="25">
        <f>IF($C209="","",IF(E209="XAUUSD",0.1,IF(ISNUMBER(SEARCH("JPY",E209)),0.01,0.0001)))</f>
        <v/>
      </c>
      <c r="Z209" s="18">
        <f>IF($C209="","",IF(F209="Sell",-1,1))</f>
        <v/>
      </c>
      <c r="AA209" s="18">
        <f>IF($C209="","",IF(E209="XAUUSD",100,100000))</f>
        <v/>
      </c>
      <c r="AB209" s="26">
        <f>IF(OR(K209="",L209=""),"",ABS(K209-L209)/Y209)</f>
        <v/>
      </c>
      <c r="AC209" s="26">
        <f>IF(OR(K209="",M209=""),"",ABS(M209-K209)/Y209)</f>
        <v/>
      </c>
      <c r="AD209" s="26">
        <f>IF(OR(K209="",O209=""),"",(O209-K209)*Z209/Y209)</f>
        <v/>
      </c>
      <c r="AE209" s="27">
        <f>IF(OR(AB209="",AB209=0,AC209=""),"",AC209/AB209)</f>
        <v/>
      </c>
      <c r="AF209" s="27">
        <f>IF(OR(AB209="",AB209=0,AD209=""),"",AD209/AB209)</f>
        <v/>
      </c>
      <c r="AG209" s="27">
        <f>IF(OR(C209="",P209=""),"",((P209+IF(Q209="",0,Q209))-(C209+IF(D209="",0,D209)))*24)</f>
        <v/>
      </c>
      <c r="AH209" s="18">
        <f>IF(AG209="","",INT(AG209/24)&amp;"d "&amp;INT(MOD(AG209,24))&amp;"h "&amp;INT(MOD(AG209*60,60))&amp;"m")</f>
        <v/>
      </c>
      <c r="AI209" s="28">
        <f>IF(OR(O209="",K209="",H209=""),"",IF(OR(E209="XAUUSD",RIGHT(E209,3)="USD"),(O209-K209)*Z209*AA209*H209,IF(LEFT(E209,3)="USD",IF(O209=0,"",(O209-K209)*Z209*AA209*H209/O209),AD209*10*H209)))</f>
        <v/>
      </c>
      <c r="AJ209" s="28">
        <f>IF(O209="","",IF(S209="",IF(AI209="",0,AI209),S209)-IF(R209="",0,R209))</f>
        <v/>
      </c>
      <c r="AK209" s="18">
        <f>IF(C209="","",IF(OR(O209="",P209=""),"Open",IF(ABS(AJ209)&lt;=BEThreshold,"BE",IF(AJ209&gt;0,"Win","Loss"))))</f>
        <v/>
      </c>
      <c r="AL209" s="28">
        <f>IF(OR(C209="",AK209="Open"),"",InitialCapital+SUMIFS($AJ$2:AJ209,$AK$2:AK209,"&lt;&gt;Open"))</f>
        <v/>
      </c>
      <c r="AM209" s="18">
        <f>IF(OR(C209="",AK209=""),"",IF(AK209="Open","No","Yes"))</f>
        <v/>
      </c>
    </row>
    <row r="210" ht="18" customHeight="1">
      <c r="A210" s="18">
        <f>IF(C210="","",COUNTA($C$2:C210))</f>
        <v/>
      </c>
      <c r="B210" s="18">
        <f>IF(C210="","",TEXT(C210,"dddd"))</f>
        <v/>
      </c>
      <c r="C210" s="19" t="n"/>
      <c r="D210" s="20" t="n"/>
      <c r="E210" s="21" t="n"/>
      <c r="F210" s="21" t="n"/>
      <c r="G210" s="21" t="n"/>
      <c r="H210" s="22" t="n"/>
      <c r="I210" s="23" t="n"/>
      <c r="J210" s="22" t="n"/>
      <c r="K210" s="24" t="n"/>
      <c r="L210" s="24" t="n"/>
      <c r="M210" s="24" t="n"/>
      <c r="N210" s="21" t="n"/>
      <c r="O210" s="24" t="n"/>
      <c r="P210" s="19" t="n"/>
      <c r="Q210" s="20" t="n"/>
      <c r="R210" s="23" t="n"/>
      <c r="S210" s="23" t="n"/>
      <c r="T210" s="21" t="n"/>
      <c r="U210" s="21" t="n"/>
      <c r="V210" s="21" t="n"/>
      <c r="W210" s="21" t="n"/>
      <c r="X210" s="21" t="n"/>
      <c r="Y210" s="25">
        <f>IF($C210="","",IF(E210="XAUUSD",0.1,IF(ISNUMBER(SEARCH("JPY",E210)),0.01,0.0001)))</f>
        <v/>
      </c>
      <c r="Z210" s="18">
        <f>IF($C210="","",IF(F210="Sell",-1,1))</f>
        <v/>
      </c>
      <c r="AA210" s="18">
        <f>IF($C210="","",IF(E210="XAUUSD",100,100000))</f>
        <v/>
      </c>
      <c r="AB210" s="26">
        <f>IF(OR(K210="",L210=""),"",ABS(K210-L210)/Y210)</f>
        <v/>
      </c>
      <c r="AC210" s="26">
        <f>IF(OR(K210="",M210=""),"",ABS(M210-K210)/Y210)</f>
        <v/>
      </c>
      <c r="AD210" s="26">
        <f>IF(OR(K210="",O210=""),"",(O210-K210)*Z210/Y210)</f>
        <v/>
      </c>
      <c r="AE210" s="27">
        <f>IF(OR(AB210="",AB210=0,AC210=""),"",AC210/AB210)</f>
        <v/>
      </c>
      <c r="AF210" s="27">
        <f>IF(OR(AB210="",AB210=0,AD210=""),"",AD210/AB210)</f>
        <v/>
      </c>
      <c r="AG210" s="27">
        <f>IF(OR(C210="",P210=""),"",((P210+IF(Q210="",0,Q210))-(C210+IF(D210="",0,D210)))*24)</f>
        <v/>
      </c>
      <c r="AH210" s="18">
        <f>IF(AG210="","",INT(AG210/24)&amp;"d "&amp;INT(MOD(AG210,24))&amp;"h "&amp;INT(MOD(AG210*60,60))&amp;"m")</f>
        <v/>
      </c>
      <c r="AI210" s="28">
        <f>IF(OR(O210="",K210="",H210=""),"",IF(OR(E210="XAUUSD",RIGHT(E210,3)="USD"),(O210-K210)*Z210*AA210*H210,IF(LEFT(E210,3)="USD",IF(O210=0,"",(O210-K210)*Z210*AA210*H210/O210),AD210*10*H210)))</f>
        <v/>
      </c>
      <c r="AJ210" s="28">
        <f>IF(O210="","",IF(S210="",IF(AI210="",0,AI210),S210)-IF(R210="",0,R210))</f>
        <v/>
      </c>
      <c r="AK210" s="18">
        <f>IF(C210="","",IF(OR(O210="",P210=""),"Open",IF(ABS(AJ210)&lt;=BEThreshold,"BE",IF(AJ210&gt;0,"Win","Loss"))))</f>
        <v/>
      </c>
      <c r="AL210" s="28">
        <f>IF(OR(C210="",AK210="Open"),"",InitialCapital+SUMIFS($AJ$2:AJ210,$AK$2:AK210,"&lt;&gt;Open"))</f>
        <v/>
      </c>
      <c r="AM210" s="18">
        <f>IF(OR(C210="",AK210=""),"",IF(AK210="Open","No","Yes"))</f>
        <v/>
      </c>
    </row>
    <row r="211" ht="18" customHeight="1">
      <c r="A211" s="18">
        <f>IF(C211="","",COUNTA($C$2:C211))</f>
        <v/>
      </c>
      <c r="B211" s="18">
        <f>IF(C211="","",TEXT(C211,"dddd"))</f>
        <v/>
      </c>
      <c r="C211" s="19" t="n"/>
      <c r="D211" s="20" t="n"/>
      <c r="E211" s="21" t="n"/>
      <c r="F211" s="21" t="n"/>
      <c r="G211" s="21" t="n"/>
      <c r="H211" s="22" t="n"/>
      <c r="I211" s="23" t="n"/>
      <c r="J211" s="22" t="n"/>
      <c r="K211" s="24" t="n"/>
      <c r="L211" s="24" t="n"/>
      <c r="M211" s="24" t="n"/>
      <c r="N211" s="21" t="n"/>
      <c r="O211" s="24" t="n"/>
      <c r="P211" s="19" t="n"/>
      <c r="Q211" s="20" t="n"/>
      <c r="R211" s="23" t="n"/>
      <c r="S211" s="23" t="n"/>
      <c r="T211" s="21" t="n"/>
      <c r="U211" s="21" t="n"/>
      <c r="V211" s="21" t="n"/>
      <c r="W211" s="21" t="n"/>
      <c r="X211" s="21" t="n"/>
      <c r="Y211" s="25">
        <f>IF($C211="","",IF(E211="XAUUSD",0.1,IF(ISNUMBER(SEARCH("JPY",E211)),0.01,0.0001)))</f>
        <v/>
      </c>
      <c r="Z211" s="18">
        <f>IF($C211="","",IF(F211="Sell",-1,1))</f>
        <v/>
      </c>
      <c r="AA211" s="18">
        <f>IF($C211="","",IF(E211="XAUUSD",100,100000))</f>
        <v/>
      </c>
      <c r="AB211" s="26">
        <f>IF(OR(K211="",L211=""),"",ABS(K211-L211)/Y211)</f>
        <v/>
      </c>
      <c r="AC211" s="26">
        <f>IF(OR(K211="",M211=""),"",ABS(M211-K211)/Y211)</f>
        <v/>
      </c>
      <c r="AD211" s="26">
        <f>IF(OR(K211="",O211=""),"",(O211-K211)*Z211/Y211)</f>
        <v/>
      </c>
      <c r="AE211" s="27">
        <f>IF(OR(AB211="",AB211=0,AC211=""),"",AC211/AB211)</f>
        <v/>
      </c>
      <c r="AF211" s="27">
        <f>IF(OR(AB211="",AB211=0,AD211=""),"",AD211/AB211)</f>
        <v/>
      </c>
      <c r="AG211" s="27">
        <f>IF(OR(C211="",P211=""),"",((P211+IF(Q211="",0,Q211))-(C211+IF(D211="",0,D211)))*24)</f>
        <v/>
      </c>
      <c r="AH211" s="18">
        <f>IF(AG211="","",INT(AG211/24)&amp;"d "&amp;INT(MOD(AG211,24))&amp;"h "&amp;INT(MOD(AG211*60,60))&amp;"m")</f>
        <v/>
      </c>
      <c r="AI211" s="28">
        <f>IF(OR(O211="",K211="",H211=""),"",IF(OR(E211="XAUUSD",RIGHT(E211,3)="USD"),(O211-K211)*Z211*AA211*H211,IF(LEFT(E211,3)="USD",IF(O211=0,"",(O211-K211)*Z211*AA211*H211/O211),AD211*10*H211)))</f>
        <v/>
      </c>
      <c r="AJ211" s="28">
        <f>IF(O211="","",IF(S211="",IF(AI211="",0,AI211),S211)-IF(R211="",0,R211))</f>
        <v/>
      </c>
      <c r="AK211" s="18">
        <f>IF(C211="","",IF(OR(O211="",P211=""),"Open",IF(ABS(AJ211)&lt;=BEThreshold,"BE",IF(AJ211&gt;0,"Win","Loss"))))</f>
        <v/>
      </c>
      <c r="AL211" s="28">
        <f>IF(OR(C211="",AK211="Open"),"",InitialCapital+SUMIFS($AJ$2:AJ211,$AK$2:AK211,"&lt;&gt;Open"))</f>
        <v/>
      </c>
      <c r="AM211" s="18">
        <f>IF(OR(C211="",AK211=""),"",IF(AK211="Open","No","Yes"))</f>
        <v/>
      </c>
    </row>
    <row r="212" ht="18" customHeight="1">
      <c r="A212" s="18">
        <f>IF(C212="","",COUNTA($C$2:C212))</f>
        <v/>
      </c>
      <c r="B212" s="18">
        <f>IF(C212="","",TEXT(C212,"dddd"))</f>
        <v/>
      </c>
      <c r="C212" s="19" t="n"/>
      <c r="D212" s="20" t="n"/>
      <c r="E212" s="21" t="n"/>
      <c r="F212" s="21" t="n"/>
      <c r="G212" s="21" t="n"/>
      <c r="H212" s="22" t="n"/>
      <c r="I212" s="23" t="n"/>
      <c r="J212" s="22" t="n"/>
      <c r="K212" s="24" t="n"/>
      <c r="L212" s="24" t="n"/>
      <c r="M212" s="24" t="n"/>
      <c r="N212" s="21" t="n"/>
      <c r="O212" s="24" t="n"/>
      <c r="P212" s="19" t="n"/>
      <c r="Q212" s="20" t="n"/>
      <c r="R212" s="23" t="n"/>
      <c r="S212" s="23" t="n"/>
      <c r="T212" s="21" t="n"/>
      <c r="U212" s="21" t="n"/>
      <c r="V212" s="21" t="n"/>
      <c r="W212" s="21" t="n"/>
      <c r="X212" s="21" t="n"/>
      <c r="Y212" s="25">
        <f>IF($C212="","",IF(E212="XAUUSD",0.1,IF(ISNUMBER(SEARCH("JPY",E212)),0.01,0.0001)))</f>
        <v/>
      </c>
      <c r="Z212" s="18">
        <f>IF($C212="","",IF(F212="Sell",-1,1))</f>
        <v/>
      </c>
      <c r="AA212" s="18">
        <f>IF($C212="","",IF(E212="XAUUSD",100,100000))</f>
        <v/>
      </c>
      <c r="AB212" s="26">
        <f>IF(OR(K212="",L212=""),"",ABS(K212-L212)/Y212)</f>
        <v/>
      </c>
      <c r="AC212" s="26">
        <f>IF(OR(K212="",M212=""),"",ABS(M212-K212)/Y212)</f>
        <v/>
      </c>
      <c r="AD212" s="26">
        <f>IF(OR(K212="",O212=""),"",(O212-K212)*Z212/Y212)</f>
        <v/>
      </c>
      <c r="AE212" s="27">
        <f>IF(OR(AB212="",AB212=0,AC212=""),"",AC212/AB212)</f>
        <v/>
      </c>
      <c r="AF212" s="27">
        <f>IF(OR(AB212="",AB212=0,AD212=""),"",AD212/AB212)</f>
        <v/>
      </c>
      <c r="AG212" s="27">
        <f>IF(OR(C212="",P212=""),"",((P212+IF(Q212="",0,Q212))-(C212+IF(D212="",0,D212)))*24)</f>
        <v/>
      </c>
      <c r="AH212" s="18">
        <f>IF(AG212="","",INT(AG212/24)&amp;"d "&amp;INT(MOD(AG212,24))&amp;"h "&amp;INT(MOD(AG212*60,60))&amp;"m")</f>
        <v/>
      </c>
      <c r="AI212" s="28">
        <f>IF(OR(O212="",K212="",H212=""),"",IF(OR(E212="XAUUSD",RIGHT(E212,3)="USD"),(O212-K212)*Z212*AA212*H212,IF(LEFT(E212,3)="USD",IF(O212=0,"",(O212-K212)*Z212*AA212*H212/O212),AD212*10*H212)))</f>
        <v/>
      </c>
      <c r="AJ212" s="28">
        <f>IF(O212="","",IF(S212="",IF(AI212="",0,AI212),S212)-IF(R212="",0,R212))</f>
        <v/>
      </c>
      <c r="AK212" s="18">
        <f>IF(C212="","",IF(OR(O212="",P212=""),"Open",IF(ABS(AJ212)&lt;=BEThreshold,"BE",IF(AJ212&gt;0,"Win","Loss"))))</f>
        <v/>
      </c>
      <c r="AL212" s="28">
        <f>IF(OR(C212="",AK212="Open"),"",InitialCapital+SUMIFS($AJ$2:AJ212,$AK$2:AK212,"&lt;&gt;Open"))</f>
        <v/>
      </c>
      <c r="AM212" s="18">
        <f>IF(OR(C212="",AK212=""),"",IF(AK212="Open","No","Yes"))</f>
        <v/>
      </c>
    </row>
    <row r="213" ht="18" customHeight="1">
      <c r="A213" s="18">
        <f>IF(C213="","",COUNTA($C$2:C213))</f>
        <v/>
      </c>
      <c r="B213" s="18">
        <f>IF(C213="","",TEXT(C213,"dddd"))</f>
        <v/>
      </c>
      <c r="C213" s="19" t="n"/>
      <c r="D213" s="20" t="n"/>
      <c r="E213" s="21" t="n"/>
      <c r="F213" s="21" t="n"/>
      <c r="G213" s="21" t="n"/>
      <c r="H213" s="22" t="n"/>
      <c r="I213" s="23" t="n"/>
      <c r="J213" s="22" t="n"/>
      <c r="K213" s="24" t="n"/>
      <c r="L213" s="24" t="n"/>
      <c r="M213" s="24" t="n"/>
      <c r="N213" s="21" t="n"/>
      <c r="O213" s="24" t="n"/>
      <c r="P213" s="19" t="n"/>
      <c r="Q213" s="20" t="n"/>
      <c r="R213" s="23" t="n"/>
      <c r="S213" s="23" t="n"/>
      <c r="T213" s="21" t="n"/>
      <c r="U213" s="21" t="n"/>
      <c r="V213" s="21" t="n"/>
      <c r="W213" s="21" t="n"/>
      <c r="X213" s="21" t="n"/>
      <c r="Y213" s="25">
        <f>IF($C213="","",IF(E213="XAUUSD",0.1,IF(ISNUMBER(SEARCH("JPY",E213)),0.01,0.0001)))</f>
        <v/>
      </c>
      <c r="Z213" s="18">
        <f>IF($C213="","",IF(F213="Sell",-1,1))</f>
        <v/>
      </c>
      <c r="AA213" s="18">
        <f>IF($C213="","",IF(E213="XAUUSD",100,100000))</f>
        <v/>
      </c>
      <c r="AB213" s="26">
        <f>IF(OR(K213="",L213=""),"",ABS(K213-L213)/Y213)</f>
        <v/>
      </c>
      <c r="AC213" s="26">
        <f>IF(OR(K213="",M213=""),"",ABS(M213-K213)/Y213)</f>
        <v/>
      </c>
      <c r="AD213" s="26">
        <f>IF(OR(K213="",O213=""),"",(O213-K213)*Z213/Y213)</f>
        <v/>
      </c>
      <c r="AE213" s="27">
        <f>IF(OR(AB213="",AB213=0,AC213=""),"",AC213/AB213)</f>
        <v/>
      </c>
      <c r="AF213" s="27">
        <f>IF(OR(AB213="",AB213=0,AD213=""),"",AD213/AB213)</f>
        <v/>
      </c>
      <c r="AG213" s="27">
        <f>IF(OR(C213="",P213=""),"",((P213+IF(Q213="",0,Q213))-(C213+IF(D213="",0,D213)))*24)</f>
        <v/>
      </c>
      <c r="AH213" s="18">
        <f>IF(AG213="","",INT(AG213/24)&amp;"d "&amp;INT(MOD(AG213,24))&amp;"h "&amp;INT(MOD(AG213*60,60))&amp;"m")</f>
        <v/>
      </c>
      <c r="AI213" s="28">
        <f>IF(OR(O213="",K213="",H213=""),"",IF(OR(E213="XAUUSD",RIGHT(E213,3)="USD"),(O213-K213)*Z213*AA213*H213,IF(LEFT(E213,3)="USD",IF(O213=0,"",(O213-K213)*Z213*AA213*H213/O213),AD213*10*H213)))</f>
        <v/>
      </c>
      <c r="AJ213" s="28">
        <f>IF(O213="","",IF(S213="",IF(AI213="",0,AI213),S213)-IF(R213="",0,R213))</f>
        <v/>
      </c>
      <c r="AK213" s="18">
        <f>IF(C213="","",IF(OR(O213="",P213=""),"Open",IF(ABS(AJ213)&lt;=BEThreshold,"BE",IF(AJ213&gt;0,"Win","Loss"))))</f>
        <v/>
      </c>
      <c r="AL213" s="28">
        <f>IF(OR(C213="",AK213="Open"),"",InitialCapital+SUMIFS($AJ$2:AJ213,$AK$2:AK213,"&lt;&gt;Open"))</f>
        <v/>
      </c>
      <c r="AM213" s="18">
        <f>IF(OR(C213="",AK213=""),"",IF(AK213="Open","No","Yes"))</f>
        <v/>
      </c>
    </row>
    <row r="214" ht="18" customHeight="1">
      <c r="A214" s="18">
        <f>IF(C214="","",COUNTA($C$2:C214))</f>
        <v/>
      </c>
      <c r="B214" s="18">
        <f>IF(C214="","",TEXT(C214,"dddd"))</f>
        <v/>
      </c>
      <c r="C214" s="19" t="n"/>
      <c r="D214" s="20" t="n"/>
      <c r="E214" s="21" t="n"/>
      <c r="F214" s="21" t="n"/>
      <c r="G214" s="21" t="n"/>
      <c r="H214" s="22" t="n"/>
      <c r="I214" s="23" t="n"/>
      <c r="J214" s="22" t="n"/>
      <c r="K214" s="24" t="n"/>
      <c r="L214" s="24" t="n"/>
      <c r="M214" s="24" t="n"/>
      <c r="N214" s="21" t="n"/>
      <c r="O214" s="24" t="n"/>
      <c r="P214" s="19" t="n"/>
      <c r="Q214" s="20" t="n"/>
      <c r="R214" s="23" t="n"/>
      <c r="S214" s="23" t="n"/>
      <c r="T214" s="21" t="n"/>
      <c r="U214" s="21" t="n"/>
      <c r="V214" s="21" t="n"/>
      <c r="W214" s="21" t="n"/>
      <c r="X214" s="21" t="n"/>
      <c r="Y214" s="25">
        <f>IF($C214="","",IF(E214="XAUUSD",0.1,IF(ISNUMBER(SEARCH("JPY",E214)),0.01,0.0001)))</f>
        <v/>
      </c>
      <c r="Z214" s="18">
        <f>IF($C214="","",IF(F214="Sell",-1,1))</f>
        <v/>
      </c>
      <c r="AA214" s="18">
        <f>IF($C214="","",IF(E214="XAUUSD",100,100000))</f>
        <v/>
      </c>
      <c r="AB214" s="26">
        <f>IF(OR(K214="",L214=""),"",ABS(K214-L214)/Y214)</f>
        <v/>
      </c>
      <c r="AC214" s="26">
        <f>IF(OR(K214="",M214=""),"",ABS(M214-K214)/Y214)</f>
        <v/>
      </c>
      <c r="AD214" s="26">
        <f>IF(OR(K214="",O214=""),"",(O214-K214)*Z214/Y214)</f>
        <v/>
      </c>
      <c r="AE214" s="27">
        <f>IF(OR(AB214="",AB214=0,AC214=""),"",AC214/AB214)</f>
        <v/>
      </c>
      <c r="AF214" s="27">
        <f>IF(OR(AB214="",AB214=0,AD214=""),"",AD214/AB214)</f>
        <v/>
      </c>
      <c r="AG214" s="27">
        <f>IF(OR(C214="",P214=""),"",((P214+IF(Q214="",0,Q214))-(C214+IF(D214="",0,D214)))*24)</f>
        <v/>
      </c>
      <c r="AH214" s="18">
        <f>IF(AG214="","",INT(AG214/24)&amp;"d "&amp;INT(MOD(AG214,24))&amp;"h "&amp;INT(MOD(AG214*60,60))&amp;"m")</f>
        <v/>
      </c>
      <c r="AI214" s="28">
        <f>IF(OR(O214="",K214="",H214=""),"",IF(OR(E214="XAUUSD",RIGHT(E214,3)="USD"),(O214-K214)*Z214*AA214*H214,IF(LEFT(E214,3)="USD",IF(O214=0,"",(O214-K214)*Z214*AA214*H214/O214),AD214*10*H214)))</f>
        <v/>
      </c>
      <c r="AJ214" s="28">
        <f>IF(O214="","",IF(S214="",IF(AI214="",0,AI214),S214)-IF(R214="",0,R214))</f>
        <v/>
      </c>
      <c r="AK214" s="18">
        <f>IF(C214="","",IF(OR(O214="",P214=""),"Open",IF(ABS(AJ214)&lt;=BEThreshold,"BE",IF(AJ214&gt;0,"Win","Loss"))))</f>
        <v/>
      </c>
      <c r="AL214" s="28">
        <f>IF(OR(C214="",AK214="Open"),"",InitialCapital+SUMIFS($AJ$2:AJ214,$AK$2:AK214,"&lt;&gt;Open"))</f>
        <v/>
      </c>
      <c r="AM214" s="18">
        <f>IF(OR(C214="",AK214=""),"",IF(AK214="Open","No","Yes"))</f>
        <v/>
      </c>
    </row>
    <row r="215" ht="18" customHeight="1">
      <c r="A215" s="18">
        <f>IF(C215="","",COUNTA($C$2:C215))</f>
        <v/>
      </c>
      <c r="B215" s="18">
        <f>IF(C215="","",TEXT(C215,"dddd"))</f>
        <v/>
      </c>
      <c r="C215" s="19" t="n"/>
      <c r="D215" s="20" t="n"/>
      <c r="E215" s="21" t="n"/>
      <c r="F215" s="21" t="n"/>
      <c r="G215" s="21" t="n"/>
      <c r="H215" s="22" t="n"/>
      <c r="I215" s="23" t="n"/>
      <c r="J215" s="22" t="n"/>
      <c r="K215" s="24" t="n"/>
      <c r="L215" s="24" t="n"/>
      <c r="M215" s="24" t="n"/>
      <c r="N215" s="21" t="n"/>
      <c r="O215" s="24" t="n"/>
      <c r="P215" s="19" t="n"/>
      <c r="Q215" s="20" t="n"/>
      <c r="R215" s="23" t="n"/>
      <c r="S215" s="23" t="n"/>
      <c r="T215" s="21" t="n"/>
      <c r="U215" s="21" t="n"/>
      <c r="V215" s="21" t="n"/>
      <c r="W215" s="21" t="n"/>
      <c r="X215" s="21" t="n"/>
      <c r="Y215" s="25">
        <f>IF($C215="","",IF(E215="XAUUSD",0.1,IF(ISNUMBER(SEARCH("JPY",E215)),0.01,0.0001)))</f>
        <v/>
      </c>
      <c r="Z215" s="18">
        <f>IF($C215="","",IF(F215="Sell",-1,1))</f>
        <v/>
      </c>
      <c r="AA215" s="18">
        <f>IF($C215="","",IF(E215="XAUUSD",100,100000))</f>
        <v/>
      </c>
      <c r="AB215" s="26">
        <f>IF(OR(K215="",L215=""),"",ABS(K215-L215)/Y215)</f>
        <v/>
      </c>
      <c r="AC215" s="26">
        <f>IF(OR(K215="",M215=""),"",ABS(M215-K215)/Y215)</f>
        <v/>
      </c>
      <c r="AD215" s="26">
        <f>IF(OR(K215="",O215=""),"",(O215-K215)*Z215/Y215)</f>
        <v/>
      </c>
      <c r="AE215" s="27">
        <f>IF(OR(AB215="",AB215=0,AC215=""),"",AC215/AB215)</f>
        <v/>
      </c>
      <c r="AF215" s="27">
        <f>IF(OR(AB215="",AB215=0,AD215=""),"",AD215/AB215)</f>
        <v/>
      </c>
      <c r="AG215" s="27">
        <f>IF(OR(C215="",P215=""),"",((P215+IF(Q215="",0,Q215))-(C215+IF(D215="",0,D215)))*24)</f>
        <v/>
      </c>
      <c r="AH215" s="18">
        <f>IF(AG215="","",INT(AG215/24)&amp;"d "&amp;INT(MOD(AG215,24))&amp;"h "&amp;INT(MOD(AG215*60,60))&amp;"m")</f>
        <v/>
      </c>
      <c r="AI215" s="28">
        <f>IF(OR(O215="",K215="",H215=""),"",IF(OR(E215="XAUUSD",RIGHT(E215,3)="USD"),(O215-K215)*Z215*AA215*H215,IF(LEFT(E215,3)="USD",IF(O215=0,"",(O215-K215)*Z215*AA215*H215/O215),AD215*10*H215)))</f>
        <v/>
      </c>
      <c r="AJ215" s="28">
        <f>IF(O215="","",IF(S215="",IF(AI215="",0,AI215),S215)-IF(R215="",0,R215))</f>
        <v/>
      </c>
      <c r="AK215" s="18">
        <f>IF(C215="","",IF(OR(O215="",P215=""),"Open",IF(ABS(AJ215)&lt;=BEThreshold,"BE",IF(AJ215&gt;0,"Win","Loss"))))</f>
        <v/>
      </c>
      <c r="AL215" s="28">
        <f>IF(OR(C215="",AK215="Open"),"",InitialCapital+SUMIFS($AJ$2:AJ215,$AK$2:AK215,"&lt;&gt;Open"))</f>
        <v/>
      </c>
      <c r="AM215" s="18">
        <f>IF(OR(C215="",AK215=""),"",IF(AK215="Open","No","Yes"))</f>
        <v/>
      </c>
    </row>
    <row r="216" ht="18" customHeight="1">
      <c r="A216" s="18">
        <f>IF(C216="","",COUNTA($C$2:C216))</f>
        <v/>
      </c>
      <c r="B216" s="18">
        <f>IF(C216="","",TEXT(C216,"dddd"))</f>
        <v/>
      </c>
      <c r="C216" s="19" t="n"/>
      <c r="D216" s="20" t="n"/>
      <c r="E216" s="21" t="n"/>
      <c r="F216" s="21" t="n"/>
      <c r="G216" s="21" t="n"/>
      <c r="H216" s="22" t="n"/>
      <c r="I216" s="23" t="n"/>
      <c r="J216" s="22" t="n"/>
      <c r="K216" s="24" t="n"/>
      <c r="L216" s="24" t="n"/>
      <c r="M216" s="24" t="n"/>
      <c r="N216" s="21" t="n"/>
      <c r="O216" s="24" t="n"/>
      <c r="P216" s="19" t="n"/>
      <c r="Q216" s="20" t="n"/>
      <c r="R216" s="23" t="n"/>
      <c r="S216" s="23" t="n"/>
      <c r="T216" s="21" t="n"/>
      <c r="U216" s="21" t="n"/>
      <c r="V216" s="21" t="n"/>
      <c r="W216" s="21" t="n"/>
      <c r="X216" s="21" t="n"/>
      <c r="Y216" s="25">
        <f>IF($C216="","",IF(E216="XAUUSD",0.1,IF(ISNUMBER(SEARCH("JPY",E216)),0.01,0.0001)))</f>
        <v/>
      </c>
      <c r="Z216" s="18">
        <f>IF($C216="","",IF(F216="Sell",-1,1))</f>
        <v/>
      </c>
      <c r="AA216" s="18">
        <f>IF($C216="","",IF(E216="XAUUSD",100,100000))</f>
        <v/>
      </c>
      <c r="AB216" s="26">
        <f>IF(OR(K216="",L216=""),"",ABS(K216-L216)/Y216)</f>
        <v/>
      </c>
      <c r="AC216" s="26">
        <f>IF(OR(K216="",M216=""),"",ABS(M216-K216)/Y216)</f>
        <v/>
      </c>
      <c r="AD216" s="26">
        <f>IF(OR(K216="",O216=""),"",(O216-K216)*Z216/Y216)</f>
        <v/>
      </c>
      <c r="AE216" s="27">
        <f>IF(OR(AB216="",AB216=0,AC216=""),"",AC216/AB216)</f>
        <v/>
      </c>
      <c r="AF216" s="27">
        <f>IF(OR(AB216="",AB216=0,AD216=""),"",AD216/AB216)</f>
        <v/>
      </c>
      <c r="AG216" s="27">
        <f>IF(OR(C216="",P216=""),"",((P216+IF(Q216="",0,Q216))-(C216+IF(D216="",0,D216)))*24)</f>
        <v/>
      </c>
      <c r="AH216" s="18">
        <f>IF(AG216="","",INT(AG216/24)&amp;"d "&amp;INT(MOD(AG216,24))&amp;"h "&amp;INT(MOD(AG216*60,60))&amp;"m")</f>
        <v/>
      </c>
      <c r="AI216" s="28">
        <f>IF(OR(O216="",K216="",H216=""),"",IF(OR(E216="XAUUSD",RIGHT(E216,3)="USD"),(O216-K216)*Z216*AA216*H216,IF(LEFT(E216,3)="USD",IF(O216=0,"",(O216-K216)*Z216*AA216*H216/O216),AD216*10*H216)))</f>
        <v/>
      </c>
      <c r="AJ216" s="28">
        <f>IF(O216="","",IF(S216="",IF(AI216="",0,AI216),S216)-IF(R216="",0,R216))</f>
        <v/>
      </c>
      <c r="AK216" s="18">
        <f>IF(C216="","",IF(OR(O216="",P216=""),"Open",IF(ABS(AJ216)&lt;=BEThreshold,"BE",IF(AJ216&gt;0,"Win","Loss"))))</f>
        <v/>
      </c>
      <c r="AL216" s="28">
        <f>IF(OR(C216="",AK216="Open"),"",InitialCapital+SUMIFS($AJ$2:AJ216,$AK$2:AK216,"&lt;&gt;Open"))</f>
        <v/>
      </c>
      <c r="AM216" s="18">
        <f>IF(OR(C216="",AK216=""),"",IF(AK216="Open","No","Yes"))</f>
        <v/>
      </c>
    </row>
    <row r="217" ht="18" customHeight="1">
      <c r="A217" s="18">
        <f>IF(C217="","",COUNTA($C$2:C217))</f>
        <v/>
      </c>
      <c r="B217" s="18">
        <f>IF(C217="","",TEXT(C217,"dddd"))</f>
        <v/>
      </c>
      <c r="C217" s="19" t="n"/>
      <c r="D217" s="20" t="n"/>
      <c r="E217" s="21" t="n"/>
      <c r="F217" s="21" t="n"/>
      <c r="G217" s="21" t="n"/>
      <c r="H217" s="22" t="n"/>
      <c r="I217" s="23" t="n"/>
      <c r="J217" s="22" t="n"/>
      <c r="K217" s="24" t="n"/>
      <c r="L217" s="24" t="n"/>
      <c r="M217" s="24" t="n"/>
      <c r="N217" s="21" t="n"/>
      <c r="O217" s="24" t="n"/>
      <c r="P217" s="19" t="n"/>
      <c r="Q217" s="20" t="n"/>
      <c r="R217" s="23" t="n"/>
      <c r="S217" s="23" t="n"/>
      <c r="T217" s="21" t="n"/>
      <c r="U217" s="21" t="n"/>
      <c r="V217" s="21" t="n"/>
      <c r="W217" s="21" t="n"/>
      <c r="X217" s="21" t="n"/>
      <c r="Y217" s="25">
        <f>IF($C217="","",IF(E217="XAUUSD",0.1,IF(ISNUMBER(SEARCH("JPY",E217)),0.01,0.0001)))</f>
        <v/>
      </c>
      <c r="Z217" s="18">
        <f>IF($C217="","",IF(F217="Sell",-1,1))</f>
        <v/>
      </c>
      <c r="AA217" s="18">
        <f>IF($C217="","",IF(E217="XAUUSD",100,100000))</f>
        <v/>
      </c>
      <c r="AB217" s="26">
        <f>IF(OR(K217="",L217=""),"",ABS(K217-L217)/Y217)</f>
        <v/>
      </c>
      <c r="AC217" s="26">
        <f>IF(OR(K217="",M217=""),"",ABS(M217-K217)/Y217)</f>
        <v/>
      </c>
      <c r="AD217" s="26">
        <f>IF(OR(K217="",O217=""),"",(O217-K217)*Z217/Y217)</f>
        <v/>
      </c>
      <c r="AE217" s="27">
        <f>IF(OR(AB217="",AB217=0,AC217=""),"",AC217/AB217)</f>
        <v/>
      </c>
      <c r="AF217" s="27">
        <f>IF(OR(AB217="",AB217=0,AD217=""),"",AD217/AB217)</f>
        <v/>
      </c>
      <c r="AG217" s="27">
        <f>IF(OR(C217="",P217=""),"",((P217+IF(Q217="",0,Q217))-(C217+IF(D217="",0,D217)))*24)</f>
        <v/>
      </c>
      <c r="AH217" s="18">
        <f>IF(AG217="","",INT(AG217/24)&amp;"d "&amp;INT(MOD(AG217,24))&amp;"h "&amp;INT(MOD(AG217*60,60))&amp;"m")</f>
        <v/>
      </c>
      <c r="AI217" s="28">
        <f>IF(OR(O217="",K217="",H217=""),"",IF(OR(E217="XAUUSD",RIGHT(E217,3)="USD"),(O217-K217)*Z217*AA217*H217,IF(LEFT(E217,3)="USD",IF(O217=0,"",(O217-K217)*Z217*AA217*H217/O217),AD217*10*H217)))</f>
        <v/>
      </c>
      <c r="AJ217" s="28">
        <f>IF(O217="","",IF(S217="",IF(AI217="",0,AI217),S217)-IF(R217="",0,R217))</f>
        <v/>
      </c>
      <c r="AK217" s="18">
        <f>IF(C217="","",IF(OR(O217="",P217=""),"Open",IF(ABS(AJ217)&lt;=BEThreshold,"BE",IF(AJ217&gt;0,"Win","Loss"))))</f>
        <v/>
      </c>
      <c r="AL217" s="28">
        <f>IF(OR(C217="",AK217="Open"),"",InitialCapital+SUMIFS($AJ$2:AJ217,$AK$2:AK217,"&lt;&gt;Open"))</f>
        <v/>
      </c>
      <c r="AM217" s="18">
        <f>IF(OR(C217="",AK217=""),"",IF(AK217="Open","No","Yes"))</f>
        <v/>
      </c>
    </row>
    <row r="218" ht="18" customHeight="1">
      <c r="A218" s="18">
        <f>IF(C218="","",COUNTA($C$2:C218))</f>
        <v/>
      </c>
      <c r="B218" s="18">
        <f>IF(C218="","",TEXT(C218,"dddd"))</f>
        <v/>
      </c>
      <c r="C218" s="19" t="n"/>
      <c r="D218" s="20" t="n"/>
      <c r="E218" s="21" t="n"/>
      <c r="F218" s="21" t="n"/>
      <c r="G218" s="21" t="n"/>
      <c r="H218" s="22" t="n"/>
      <c r="I218" s="23" t="n"/>
      <c r="J218" s="22" t="n"/>
      <c r="K218" s="24" t="n"/>
      <c r="L218" s="24" t="n"/>
      <c r="M218" s="24" t="n"/>
      <c r="N218" s="21" t="n"/>
      <c r="O218" s="24" t="n"/>
      <c r="P218" s="19" t="n"/>
      <c r="Q218" s="20" t="n"/>
      <c r="R218" s="23" t="n"/>
      <c r="S218" s="23" t="n"/>
      <c r="T218" s="21" t="n"/>
      <c r="U218" s="21" t="n"/>
      <c r="V218" s="21" t="n"/>
      <c r="W218" s="21" t="n"/>
      <c r="X218" s="21" t="n"/>
      <c r="Y218" s="25">
        <f>IF($C218="","",IF(E218="XAUUSD",0.1,IF(ISNUMBER(SEARCH("JPY",E218)),0.01,0.0001)))</f>
        <v/>
      </c>
      <c r="Z218" s="18">
        <f>IF($C218="","",IF(F218="Sell",-1,1))</f>
        <v/>
      </c>
      <c r="AA218" s="18">
        <f>IF($C218="","",IF(E218="XAUUSD",100,100000))</f>
        <v/>
      </c>
      <c r="AB218" s="26">
        <f>IF(OR(K218="",L218=""),"",ABS(K218-L218)/Y218)</f>
        <v/>
      </c>
      <c r="AC218" s="26">
        <f>IF(OR(K218="",M218=""),"",ABS(M218-K218)/Y218)</f>
        <v/>
      </c>
      <c r="AD218" s="26">
        <f>IF(OR(K218="",O218=""),"",(O218-K218)*Z218/Y218)</f>
        <v/>
      </c>
      <c r="AE218" s="27">
        <f>IF(OR(AB218="",AB218=0,AC218=""),"",AC218/AB218)</f>
        <v/>
      </c>
      <c r="AF218" s="27">
        <f>IF(OR(AB218="",AB218=0,AD218=""),"",AD218/AB218)</f>
        <v/>
      </c>
      <c r="AG218" s="27">
        <f>IF(OR(C218="",P218=""),"",((P218+IF(Q218="",0,Q218))-(C218+IF(D218="",0,D218)))*24)</f>
        <v/>
      </c>
      <c r="AH218" s="18">
        <f>IF(AG218="","",INT(AG218/24)&amp;"d "&amp;INT(MOD(AG218,24))&amp;"h "&amp;INT(MOD(AG218*60,60))&amp;"m")</f>
        <v/>
      </c>
      <c r="AI218" s="28">
        <f>IF(OR(O218="",K218="",H218=""),"",IF(OR(E218="XAUUSD",RIGHT(E218,3)="USD"),(O218-K218)*Z218*AA218*H218,IF(LEFT(E218,3)="USD",IF(O218=0,"",(O218-K218)*Z218*AA218*H218/O218),AD218*10*H218)))</f>
        <v/>
      </c>
      <c r="AJ218" s="28">
        <f>IF(O218="","",IF(S218="",IF(AI218="",0,AI218),S218)-IF(R218="",0,R218))</f>
        <v/>
      </c>
      <c r="AK218" s="18">
        <f>IF(C218="","",IF(OR(O218="",P218=""),"Open",IF(ABS(AJ218)&lt;=BEThreshold,"BE",IF(AJ218&gt;0,"Win","Loss"))))</f>
        <v/>
      </c>
      <c r="AL218" s="28">
        <f>IF(OR(C218="",AK218="Open"),"",InitialCapital+SUMIFS($AJ$2:AJ218,$AK$2:AK218,"&lt;&gt;Open"))</f>
        <v/>
      </c>
      <c r="AM218" s="18">
        <f>IF(OR(C218="",AK218=""),"",IF(AK218="Open","No","Yes"))</f>
        <v/>
      </c>
    </row>
    <row r="219" ht="18" customHeight="1">
      <c r="A219" s="18">
        <f>IF(C219="","",COUNTA($C$2:C219))</f>
        <v/>
      </c>
      <c r="B219" s="18">
        <f>IF(C219="","",TEXT(C219,"dddd"))</f>
        <v/>
      </c>
      <c r="C219" s="19" t="n"/>
      <c r="D219" s="20" t="n"/>
      <c r="E219" s="21" t="n"/>
      <c r="F219" s="21" t="n"/>
      <c r="G219" s="21" t="n"/>
      <c r="H219" s="22" t="n"/>
      <c r="I219" s="23" t="n"/>
      <c r="J219" s="22" t="n"/>
      <c r="K219" s="24" t="n"/>
      <c r="L219" s="24" t="n"/>
      <c r="M219" s="24" t="n"/>
      <c r="N219" s="21" t="n"/>
      <c r="O219" s="24" t="n"/>
      <c r="P219" s="19" t="n"/>
      <c r="Q219" s="20" t="n"/>
      <c r="R219" s="23" t="n"/>
      <c r="S219" s="23" t="n"/>
      <c r="T219" s="21" t="n"/>
      <c r="U219" s="21" t="n"/>
      <c r="V219" s="21" t="n"/>
      <c r="W219" s="21" t="n"/>
      <c r="X219" s="21" t="n"/>
      <c r="Y219" s="25">
        <f>IF($C219="","",IF(E219="XAUUSD",0.1,IF(ISNUMBER(SEARCH("JPY",E219)),0.01,0.0001)))</f>
        <v/>
      </c>
      <c r="Z219" s="18">
        <f>IF($C219="","",IF(F219="Sell",-1,1))</f>
        <v/>
      </c>
      <c r="AA219" s="18">
        <f>IF($C219="","",IF(E219="XAUUSD",100,100000))</f>
        <v/>
      </c>
      <c r="AB219" s="26">
        <f>IF(OR(K219="",L219=""),"",ABS(K219-L219)/Y219)</f>
        <v/>
      </c>
      <c r="AC219" s="26">
        <f>IF(OR(K219="",M219=""),"",ABS(M219-K219)/Y219)</f>
        <v/>
      </c>
      <c r="AD219" s="26">
        <f>IF(OR(K219="",O219=""),"",(O219-K219)*Z219/Y219)</f>
        <v/>
      </c>
      <c r="AE219" s="27">
        <f>IF(OR(AB219="",AB219=0,AC219=""),"",AC219/AB219)</f>
        <v/>
      </c>
      <c r="AF219" s="27">
        <f>IF(OR(AB219="",AB219=0,AD219=""),"",AD219/AB219)</f>
        <v/>
      </c>
      <c r="AG219" s="27">
        <f>IF(OR(C219="",P219=""),"",((P219+IF(Q219="",0,Q219))-(C219+IF(D219="",0,D219)))*24)</f>
        <v/>
      </c>
      <c r="AH219" s="18">
        <f>IF(AG219="","",INT(AG219/24)&amp;"d "&amp;INT(MOD(AG219,24))&amp;"h "&amp;INT(MOD(AG219*60,60))&amp;"m")</f>
        <v/>
      </c>
      <c r="AI219" s="28">
        <f>IF(OR(O219="",K219="",H219=""),"",IF(OR(E219="XAUUSD",RIGHT(E219,3)="USD"),(O219-K219)*Z219*AA219*H219,IF(LEFT(E219,3)="USD",IF(O219=0,"",(O219-K219)*Z219*AA219*H219/O219),AD219*10*H219)))</f>
        <v/>
      </c>
      <c r="AJ219" s="28">
        <f>IF(O219="","",IF(S219="",IF(AI219="",0,AI219),S219)-IF(R219="",0,R219))</f>
        <v/>
      </c>
      <c r="AK219" s="18">
        <f>IF(C219="","",IF(OR(O219="",P219=""),"Open",IF(ABS(AJ219)&lt;=BEThreshold,"BE",IF(AJ219&gt;0,"Win","Loss"))))</f>
        <v/>
      </c>
      <c r="AL219" s="28">
        <f>IF(OR(C219="",AK219="Open"),"",InitialCapital+SUMIFS($AJ$2:AJ219,$AK$2:AK219,"&lt;&gt;Open"))</f>
        <v/>
      </c>
      <c r="AM219" s="18">
        <f>IF(OR(C219="",AK219=""),"",IF(AK219="Open","No","Yes"))</f>
        <v/>
      </c>
    </row>
    <row r="220" ht="18" customHeight="1">
      <c r="A220" s="18">
        <f>IF(C220="","",COUNTA($C$2:C220))</f>
        <v/>
      </c>
      <c r="B220" s="18">
        <f>IF(C220="","",TEXT(C220,"dddd"))</f>
        <v/>
      </c>
      <c r="C220" s="19" t="n"/>
      <c r="D220" s="20" t="n"/>
      <c r="E220" s="21" t="n"/>
      <c r="F220" s="21" t="n"/>
      <c r="G220" s="21" t="n"/>
      <c r="H220" s="22" t="n"/>
      <c r="I220" s="23" t="n"/>
      <c r="J220" s="22" t="n"/>
      <c r="K220" s="24" t="n"/>
      <c r="L220" s="24" t="n"/>
      <c r="M220" s="24" t="n"/>
      <c r="N220" s="21" t="n"/>
      <c r="O220" s="24" t="n"/>
      <c r="P220" s="19" t="n"/>
      <c r="Q220" s="20" t="n"/>
      <c r="R220" s="23" t="n"/>
      <c r="S220" s="23" t="n"/>
      <c r="T220" s="21" t="n"/>
      <c r="U220" s="21" t="n"/>
      <c r="V220" s="21" t="n"/>
      <c r="W220" s="21" t="n"/>
      <c r="X220" s="21" t="n"/>
      <c r="Y220" s="25">
        <f>IF($C220="","",IF(E220="XAUUSD",0.1,IF(ISNUMBER(SEARCH("JPY",E220)),0.01,0.0001)))</f>
        <v/>
      </c>
      <c r="Z220" s="18">
        <f>IF($C220="","",IF(F220="Sell",-1,1))</f>
        <v/>
      </c>
      <c r="AA220" s="18">
        <f>IF($C220="","",IF(E220="XAUUSD",100,100000))</f>
        <v/>
      </c>
      <c r="AB220" s="26">
        <f>IF(OR(K220="",L220=""),"",ABS(K220-L220)/Y220)</f>
        <v/>
      </c>
      <c r="AC220" s="26">
        <f>IF(OR(K220="",M220=""),"",ABS(M220-K220)/Y220)</f>
        <v/>
      </c>
      <c r="AD220" s="26">
        <f>IF(OR(K220="",O220=""),"",(O220-K220)*Z220/Y220)</f>
        <v/>
      </c>
      <c r="AE220" s="27">
        <f>IF(OR(AB220="",AB220=0,AC220=""),"",AC220/AB220)</f>
        <v/>
      </c>
      <c r="AF220" s="27">
        <f>IF(OR(AB220="",AB220=0,AD220=""),"",AD220/AB220)</f>
        <v/>
      </c>
      <c r="AG220" s="27">
        <f>IF(OR(C220="",P220=""),"",((P220+IF(Q220="",0,Q220))-(C220+IF(D220="",0,D220)))*24)</f>
        <v/>
      </c>
      <c r="AH220" s="18">
        <f>IF(AG220="","",INT(AG220/24)&amp;"d "&amp;INT(MOD(AG220,24))&amp;"h "&amp;INT(MOD(AG220*60,60))&amp;"m")</f>
        <v/>
      </c>
      <c r="AI220" s="28">
        <f>IF(OR(O220="",K220="",H220=""),"",IF(OR(E220="XAUUSD",RIGHT(E220,3)="USD"),(O220-K220)*Z220*AA220*H220,IF(LEFT(E220,3)="USD",IF(O220=0,"",(O220-K220)*Z220*AA220*H220/O220),AD220*10*H220)))</f>
        <v/>
      </c>
      <c r="AJ220" s="28">
        <f>IF(O220="","",IF(S220="",IF(AI220="",0,AI220),S220)-IF(R220="",0,R220))</f>
        <v/>
      </c>
      <c r="AK220" s="18">
        <f>IF(C220="","",IF(OR(O220="",P220=""),"Open",IF(ABS(AJ220)&lt;=BEThreshold,"BE",IF(AJ220&gt;0,"Win","Loss"))))</f>
        <v/>
      </c>
      <c r="AL220" s="28">
        <f>IF(OR(C220="",AK220="Open"),"",InitialCapital+SUMIFS($AJ$2:AJ220,$AK$2:AK220,"&lt;&gt;Open"))</f>
        <v/>
      </c>
      <c r="AM220" s="18">
        <f>IF(OR(C220="",AK220=""),"",IF(AK220="Open","No","Yes"))</f>
        <v/>
      </c>
    </row>
    <row r="221" ht="18" customHeight="1">
      <c r="A221" s="18">
        <f>IF(C221="","",COUNTA($C$2:C221))</f>
        <v/>
      </c>
      <c r="B221" s="18">
        <f>IF(C221="","",TEXT(C221,"dddd"))</f>
        <v/>
      </c>
      <c r="C221" s="19" t="n"/>
      <c r="D221" s="20" t="n"/>
      <c r="E221" s="21" t="n"/>
      <c r="F221" s="21" t="n"/>
      <c r="G221" s="21" t="n"/>
      <c r="H221" s="22" t="n"/>
      <c r="I221" s="23" t="n"/>
      <c r="J221" s="22" t="n"/>
      <c r="K221" s="24" t="n"/>
      <c r="L221" s="24" t="n"/>
      <c r="M221" s="24" t="n"/>
      <c r="N221" s="21" t="n"/>
      <c r="O221" s="24" t="n"/>
      <c r="P221" s="19" t="n"/>
      <c r="Q221" s="20" t="n"/>
      <c r="R221" s="23" t="n"/>
      <c r="S221" s="23" t="n"/>
      <c r="T221" s="21" t="n"/>
      <c r="U221" s="21" t="n"/>
      <c r="V221" s="21" t="n"/>
      <c r="W221" s="21" t="n"/>
      <c r="X221" s="21" t="n"/>
      <c r="Y221" s="25">
        <f>IF($C221="","",IF(E221="XAUUSD",0.1,IF(ISNUMBER(SEARCH("JPY",E221)),0.01,0.0001)))</f>
        <v/>
      </c>
      <c r="Z221" s="18">
        <f>IF($C221="","",IF(F221="Sell",-1,1))</f>
        <v/>
      </c>
      <c r="AA221" s="18">
        <f>IF($C221="","",IF(E221="XAUUSD",100,100000))</f>
        <v/>
      </c>
      <c r="AB221" s="26">
        <f>IF(OR(K221="",L221=""),"",ABS(K221-L221)/Y221)</f>
        <v/>
      </c>
      <c r="AC221" s="26">
        <f>IF(OR(K221="",M221=""),"",ABS(M221-K221)/Y221)</f>
        <v/>
      </c>
      <c r="AD221" s="26">
        <f>IF(OR(K221="",O221=""),"",(O221-K221)*Z221/Y221)</f>
        <v/>
      </c>
      <c r="AE221" s="27">
        <f>IF(OR(AB221="",AB221=0,AC221=""),"",AC221/AB221)</f>
        <v/>
      </c>
      <c r="AF221" s="27">
        <f>IF(OR(AB221="",AB221=0,AD221=""),"",AD221/AB221)</f>
        <v/>
      </c>
      <c r="AG221" s="27">
        <f>IF(OR(C221="",P221=""),"",((P221+IF(Q221="",0,Q221))-(C221+IF(D221="",0,D221)))*24)</f>
        <v/>
      </c>
      <c r="AH221" s="18">
        <f>IF(AG221="","",INT(AG221/24)&amp;"d "&amp;INT(MOD(AG221,24))&amp;"h "&amp;INT(MOD(AG221*60,60))&amp;"m")</f>
        <v/>
      </c>
      <c r="AI221" s="28">
        <f>IF(OR(O221="",K221="",H221=""),"",IF(OR(E221="XAUUSD",RIGHT(E221,3)="USD"),(O221-K221)*Z221*AA221*H221,IF(LEFT(E221,3)="USD",IF(O221=0,"",(O221-K221)*Z221*AA221*H221/O221),AD221*10*H221)))</f>
        <v/>
      </c>
      <c r="AJ221" s="28">
        <f>IF(O221="","",IF(S221="",IF(AI221="",0,AI221),S221)-IF(R221="",0,R221))</f>
        <v/>
      </c>
      <c r="AK221" s="18">
        <f>IF(C221="","",IF(OR(O221="",P221=""),"Open",IF(ABS(AJ221)&lt;=BEThreshold,"BE",IF(AJ221&gt;0,"Win","Loss"))))</f>
        <v/>
      </c>
      <c r="AL221" s="28">
        <f>IF(OR(C221="",AK221="Open"),"",InitialCapital+SUMIFS($AJ$2:AJ221,$AK$2:AK221,"&lt;&gt;Open"))</f>
        <v/>
      </c>
      <c r="AM221" s="18">
        <f>IF(OR(C221="",AK221=""),"",IF(AK221="Open","No","Yes"))</f>
        <v/>
      </c>
    </row>
    <row r="222" ht="18" customHeight="1">
      <c r="A222" s="18">
        <f>IF(C222="","",COUNTA($C$2:C222))</f>
        <v/>
      </c>
      <c r="B222" s="18">
        <f>IF(C222="","",TEXT(C222,"dddd"))</f>
        <v/>
      </c>
      <c r="C222" s="19" t="n"/>
      <c r="D222" s="20" t="n"/>
      <c r="E222" s="21" t="n"/>
      <c r="F222" s="21" t="n"/>
      <c r="G222" s="21" t="n"/>
      <c r="H222" s="22" t="n"/>
      <c r="I222" s="23" t="n"/>
      <c r="J222" s="22" t="n"/>
      <c r="K222" s="24" t="n"/>
      <c r="L222" s="24" t="n"/>
      <c r="M222" s="24" t="n"/>
      <c r="N222" s="21" t="n"/>
      <c r="O222" s="24" t="n"/>
      <c r="P222" s="19" t="n"/>
      <c r="Q222" s="20" t="n"/>
      <c r="R222" s="23" t="n"/>
      <c r="S222" s="23" t="n"/>
      <c r="T222" s="21" t="n"/>
      <c r="U222" s="21" t="n"/>
      <c r="V222" s="21" t="n"/>
      <c r="W222" s="21" t="n"/>
      <c r="X222" s="21" t="n"/>
      <c r="Y222" s="25">
        <f>IF($C222="","",IF(E222="XAUUSD",0.1,IF(ISNUMBER(SEARCH("JPY",E222)),0.01,0.0001)))</f>
        <v/>
      </c>
      <c r="Z222" s="18">
        <f>IF($C222="","",IF(F222="Sell",-1,1))</f>
        <v/>
      </c>
      <c r="AA222" s="18">
        <f>IF($C222="","",IF(E222="XAUUSD",100,100000))</f>
        <v/>
      </c>
      <c r="AB222" s="26">
        <f>IF(OR(K222="",L222=""),"",ABS(K222-L222)/Y222)</f>
        <v/>
      </c>
      <c r="AC222" s="26">
        <f>IF(OR(K222="",M222=""),"",ABS(M222-K222)/Y222)</f>
        <v/>
      </c>
      <c r="AD222" s="26">
        <f>IF(OR(K222="",O222=""),"",(O222-K222)*Z222/Y222)</f>
        <v/>
      </c>
      <c r="AE222" s="27">
        <f>IF(OR(AB222="",AB222=0,AC222=""),"",AC222/AB222)</f>
        <v/>
      </c>
      <c r="AF222" s="27">
        <f>IF(OR(AB222="",AB222=0,AD222=""),"",AD222/AB222)</f>
        <v/>
      </c>
      <c r="AG222" s="27">
        <f>IF(OR(C222="",P222=""),"",((P222+IF(Q222="",0,Q222))-(C222+IF(D222="",0,D222)))*24)</f>
        <v/>
      </c>
      <c r="AH222" s="18">
        <f>IF(AG222="","",INT(AG222/24)&amp;"d "&amp;INT(MOD(AG222,24))&amp;"h "&amp;INT(MOD(AG222*60,60))&amp;"m")</f>
        <v/>
      </c>
      <c r="AI222" s="28">
        <f>IF(OR(O222="",K222="",H222=""),"",IF(OR(E222="XAUUSD",RIGHT(E222,3)="USD"),(O222-K222)*Z222*AA222*H222,IF(LEFT(E222,3)="USD",IF(O222=0,"",(O222-K222)*Z222*AA222*H222/O222),AD222*10*H222)))</f>
        <v/>
      </c>
      <c r="AJ222" s="28">
        <f>IF(O222="","",IF(S222="",IF(AI222="",0,AI222),S222)-IF(R222="",0,R222))</f>
        <v/>
      </c>
      <c r="AK222" s="18">
        <f>IF(C222="","",IF(OR(O222="",P222=""),"Open",IF(ABS(AJ222)&lt;=BEThreshold,"BE",IF(AJ222&gt;0,"Win","Loss"))))</f>
        <v/>
      </c>
      <c r="AL222" s="28">
        <f>IF(OR(C222="",AK222="Open"),"",InitialCapital+SUMIFS($AJ$2:AJ222,$AK$2:AK222,"&lt;&gt;Open"))</f>
        <v/>
      </c>
      <c r="AM222" s="18">
        <f>IF(OR(C222="",AK222=""),"",IF(AK222="Open","No","Yes"))</f>
        <v/>
      </c>
    </row>
    <row r="223" ht="18" customHeight="1">
      <c r="A223" s="18">
        <f>IF(C223="","",COUNTA($C$2:C223))</f>
        <v/>
      </c>
      <c r="B223" s="18">
        <f>IF(C223="","",TEXT(C223,"dddd"))</f>
        <v/>
      </c>
      <c r="C223" s="19" t="n"/>
      <c r="D223" s="20" t="n"/>
      <c r="E223" s="21" t="n"/>
      <c r="F223" s="21" t="n"/>
      <c r="G223" s="21" t="n"/>
      <c r="H223" s="22" t="n"/>
      <c r="I223" s="23" t="n"/>
      <c r="J223" s="22" t="n"/>
      <c r="K223" s="24" t="n"/>
      <c r="L223" s="24" t="n"/>
      <c r="M223" s="24" t="n"/>
      <c r="N223" s="21" t="n"/>
      <c r="O223" s="24" t="n"/>
      <c r="P223" s="19" t="n"/>
      <c r="Q223" s="20" t="n"/>
      <c r="R223" s="23" t="n"/>
      <c r="S223" s="23" t="n"/>
      <c r="T223" s="21" t="n"/>
      <c r="U223" s="21" t="n"/>
      <c r="V223" s="21" t="n"/>
      <c r="W223" s="21" t="n"/>
      <c r="X223" s="21" t="n"/>
      <c r="Y223" s="25">
        <f>IF($C223="","",IF(E223="XAUUSD",0.1,IF(ISNUMBER(SEARCH("JPY",E223)),0.01,0.0001)))</f>
        <v/>
      </c>
      <c r="Z223" s="18">
        <f>IF($C223="","",IF(F223="Sell",-1,1))</f>
        <v/>
      </c>
      <c r="AA223" s="18">
        <f>IF($C223="","",IF(E223="XAUUSD",100,100000))</f>
        <v/>
      </c>
      <c r="AB223" s="26">
        <f>IF(OR(K223="",L223=""),"",ABS(K223-L223)/Y223)</f>
        <v/>
      </c>
      <c r="AC223" s="26">
        <f>IF(OR(K223="",M223=""),"",ABS(M223-K223)/Y223)</f>
        <v/>
      </c>
      <c r="AD223" s="26">
        <f>IF(OR(K223="",O223=""),"",(O223-K223)*Z223/Y223)</f>
        <v/>
      </c>
      <c r="AE223" s="27">
        <f>IF(OR(AB223="",AB223=0,AC223=""),"",AC223/AB223)</f>
        <v/>
      </c>
      <c r="AF223" s="27">
        <f>IF(OR(AB223="",AB223=0,AD223=""),"",AD223/AB223)</f>
        <v/>
      </c>
      <c r="AG223" s="27">
        <f>IF(OR(C223="",P223=""),"",((P223+IF(Q223="",0,Q223))-(C223+IF(D223="",0,D223)))*24)</f>
        <v/>
      </c>
      <c r="AH223" s="18">
        <f>IF(AG223="","",INT(AG223/24)&amp;"d "&amp;INT(MOD(AG223,24))&amp;"h "&amp;INT(MOD(AG223*60,60))&amp;"m")</f>
        <v/>
      </c>
      <c r="AI223" s="28">
        <f>IF(OR(O223="",K223="",H223=""),"",IF(OR(E223="XAUUSD",RIGHT(E223,3)="USD"),(O223-K223)*Z223*AA223*H223,IF(LEFT(E223,3)="USD",IF(O223=0,"",(O223-K223)*Z223*AA223*H223/O223),AD223*10*H223)))</f>
        <v/>
      </c>
      <c r="AJ223" s="28">
        <f>IF(O223="","",IF(S223="",IF(AI223="",0,AI223),S223)-IF(R223="",0,R223))</f>
        <v/>
      </c>
      <c r="AK223" s="18">
        <f>IF(C223="","",IF(OR(O223="",P223=""),"Open",IF(ABS(AJ223)&lt;=BEThreshold,"BE",IF(AJ223&gt;0,"Win","Loss"))))</f>
        <v/>
      </c>
      <c r="AL223" s="28">
        <f>IF(OR(C223="",AK223="Open"),"",InitialCapital+SUMIFS($AJ$2:AJ223,$AK$2:AK223,"&lt;&gt;Open"))</f>
        <v/>
      </c>
      <c r="AM223" s="18">
        <f>IF(OR(C223="",AK223=""),"",IF(AK223="Open","No","Yes"))</f>
        <v/>
      </c>
    </row>
    <row r="224" ht="18" customHeight="1">
      <c r="A224" s="18">
        <f>IF(C224="","",COUNTA($C$2:C224))</f>
        <v/>
      </c>
      <c r="B224" s="18">
        <f>IF(C224="","",TEXT(C224,"dddd"))</f>
        <v/>
      </c>
      <c r="C224" s="19" t="n"/>
      <c r="D224" s="20" t="n"/>
      <c r="E224" s="21" t="n"/>
      <c r="F224" s="21" t="n"/>
      <c r="G224" s="21" t="n"/>
      <c r="H224" s="22" t="n"/>
      <c r="I224" s="23" t="n"/>
      <c r="J224" s="22" t="n"/>
      <c r="K224" s="24" t="n"/>
      <c r="L224" s="24" t="n"/>
      <c r="M224" s="24" t="n"/>
      <c r="N224" s="21" t="n"/>
      <c r="O224" s="24" t="n"/>
      <c r="P224" s="19" t="n"/>
      <c r="Q224" s="20" t="n"/>
      <c r="R224" s="23" t="n"/>
      <c r="S224" s="23" t="n"/>
      <c r="T224" s="21" t="n"/>
      <c r="U224" s="21" t="n"/>
      <c r="V224" s="21" t="n"/>
      <c r="W224" s="21" t="n"/>
      <c r="X224" s="21" t="n"/>
      <c r="Y224" s="25">
        <f>IF($C224="","",IF(E224="XAUUSD",0.1,IF(ISNUMBER(SEARCH("JPY",E224)),0.01,0.0001)))</f>
        <v/>
      </c>
      <c r="Z224" s="18">
        <f>IF($C224="","",IF(F224="Sell",-1,1))</f>
        <v/>
      </c>
      <c r="AA224" s="18">
        <f>IF($C224="","",IF(E224="XAUUSD",100,100000))</f>
        <v/>
      </c>
      <c r="AB224" s="26">
        <f>IF(OR(K224="",L224=""),"",ABS(K224-L224)/Y224)</f>
        <v/>
      </c>
      <c r="AC224" s="26">
        <f>IF(OR(K224="",M224=""),"",ABS(M224-K224)/Y224)</f>
        <v/>
      </c>
      <c r="AD224" s="26">
        <f>IF(OR(K224="",O224=""),"",(O224-K224)*Z224/Y224)</f>
        <v/>
      </c>
      <c r="AE224" s="27">
        <f>IF(OR(AB224="",AB224=0,AC224=""),"",AC224/AB224)</f>
        <v/>
      </c>
      <c r="AF224" s="27">
        <f>IF(OR(AB224="",AB224=0,AD224=""),"",AD224/AB224)</f>
        <v/>
      </c>
      <c r="AG224" s="27">
        <f>IF(OR(C224="",P224=""),"",((P224+IF(Q224="",0,Q224))-(C224+IF(D224="",0,D224)))*24)</f>
        <v/>
      </c>
      <c r="AH224" s="18">
        <f>IF(AG224="","",INT(AG224/24)&amp;"d "&amp;INT(MOD(AG224,24))&amp;"h "&amp;INT(MOD(AG224*60,60))&amp;"m")</f>
        <v/>
      </c>
      <c r="AI224" s="28">
        <f>IF(OR(O224="",K224="",H224=""),"",IF(OR(E224="XAUUSD",RIGHT(E224,3)="USD"),(O224-K224)*Z224*AA224*H224,IF(LEFT(E224,3)="USD",IF(O224=0,"",(O224-K224)*Z224*AA224*H224/O224),AD224*10*H224)))</f>
        <v/>
      </c>
      <c r="AJ224" s="28">
        <f>IF(O224="","",IF(S224="",IF(AI224="",0,AI224),S224)-IF(R224="",0,R224))</f>
        <v/>
      </c>
      <c r="AK224" s="18">
        <f>IF(C224="","",IF(OR(O224="",P224=""),"Open",IF(ABS(AJ224)&lt;=BEThreshold,"BE",IF(AJ224&gt;0,"Win","Loss"))))</f>
        <v/>
      </c>
      <c r="AL224" s="28">
        <f>IF(OR(C224="",AK224="Open"),"",InitialCapital+SUMIFS($AJ$2:AJ224,$AK$2:AK224,"&lt;&gt;Open"))</f>
        <v/>
      </c>
      <c r="AM224" s="18">
        <f>IF(OR(C224="",AK224=""),"",IF(AK224="Open","No","Yes"))</f>
        <v/>
      </c>
    </row>
    <row r="225" ht="18" customHeight="1">
      <c r="A225" s="18">
        <f>IF(C225="","",COUNTA($C$2:C225))</f>
        <v/>
      </c>
      <c r="B225" s="18">
        <f>IF(C225="","",TEXT(C225,"dddd"))</f>
        <v/>
      </c>
      <c r="C225" s="19" t="n"/>
      <c r="D225" s="20" t="n"/>
      <c r="E225" s="21" t="n"/>
      <c r="F225" s="21" t="n"/>
      <c r="G225" s="21" t="n"/>
      <c r="H225" s="22" t="n"/>
      <c r="I225" s="23" t="n"/>
      <c r="J225" s="22" t="n"/>
      <c r="K225" s="24" t="n"/>
      <c r="L225" s="24" t="n"/>
      <c r="M225" s="24" t="n"/>
      <c r="N225" s="21" t="n"/>
      <c r="O225" s="24" t="n"/>
      <c r="P225" s="19" t="n"/>
      <c r="Q225" s="20" t="n"/>
      <c r="R225" s="23" t="n"/>
      <c r="S225" s="23" t="n"/>
      <c r="T225" s="21" t="n"/>
      <c r="U225" s="21" t="n"/>
      <c r="V225" s="21" t="n"/>
      <c r="W225" s="21" t="n"/>
      <c r="X225" s="21" t="n"/>
      <c r="Y225" s="25">
        <f>IF($C225="","",IF(E225="XAUUSD",0.1,IF(ISNUMBER(SEARCH("JPY",E225)),0.01,0.0001)))</f>
        <v/>
      </c>
      <c r="Z225" s="18">
        <f>IF($C225="","",IF(F225="Sell",-1,1))</f>
        <v/>
      </c>
      <c r="AA225" s="18">
        <f>IF($C225="","",IF(E225="XAUUSD",100,100000))</f>
        <v/>
      </c>
      <c r="AB225" s="26">
        <f>IF(OR(K225="",L225=""),"",ABS(K225-L225)/Y225)</f>
        <v/>
      </c>
      <c r="AC225" s="26">
        <f>IF(OR(K225="",M225=""),"",ABS(M225-K225)/Y225)</f>
        <v/>
      </c>
      <c r="AD225" s="26">
        <f>IF(OR(K225="",O225=""),"",(O225-K225)*Z225/Y225)</f>
        <v/>
      </c>
      <c r="AE225" s="27">
        <f>IF(OR(AB225="",AB225=0,AC225=""),"",AC225/AB225)</f>
        <v/>
      </c>
      <c r="AF225" s="27">
        <f>IF(OR(AB225="",AB225=0,AD225=""),"",AD225/AB225)</f>
        <v/>
      </c>
      <c r="AG225" s="27">
        <f>IF(OR(C225="",P225=""),"",((P225+IF(Q225="",0,Q225))-(C225+IF(D225="",0,D225)))*24)</f>
        <v/>
      </c>
      <c r="AH225" s="18">
        <f>IF(AG225="","",INT(AG225/24)&amp;"d "&amp;INT(MOD(AG225,24))&amp;"h "&amp;INT(MOD(AG225*60,60))&amp;"m")</f>
        <v/>
      </c>
      <c r="AI225" s="28">
        <f>IF(OR(O225="",K225="",H225=""),"",IF(OR(E225="XAUUSD",RIGHT(E225,3)="USD"),(O225-K225)*Z225*AA225*H225,IF(LEFT(E225,3)="USD",IF(O225=0,"",(O225-K225)*Z225*AA225*H225/O225),AD225*10*H225)))</f>
        <v/>
      </c>
      <c r="AJ225" s="28">
        <f>IF(O225="","",IF(S225="",IF(AI225="",0,AI225),S225)-IF(R225="",0,R225))</f>
        <v/>
      </c>
      <c r="AK225" s="18">
        <f>IF(C225="","",IF(OR(O225="",P225=""),"Open",IF(ABS(AJ225)&lt;=BEThreshold,"BE",IF(AJ225&gt;0,"Win","Loss"))))</f>
        <v/>
      </c>
      <c r="AL225" s="28">
        <f>IF(OR(C225="",AK225="Open"),"",InitialCapital+SUMIFS($AJ$2:AJ225,$AK$2:AK225,"&lt;&gt;Open"))</f>
        <v/>
      </c>
      <c r="AM225" s="18">
        <f>IF(OR(C225="",AK225=""),"",IF(AK225="Open","No","Yes"))</f>
        <v/>
      </c>
    </row>
    <row r="226" ht="18" customHeight="1">
      <c r="A226" s="18">
        <f>IF(C226="","",COUNTA($C$2:C226))</f>
        <v/>
      </c>
      <c r="B226" s="18">
        <f>IF(C226="","",TEXT(C226,"dddd"))</f>
        <v/>
      </c>
      <c r="C226" s="19" t="n"/>
      <c r="D226" s="20" t="n"/>
      <c r="E226" s="21" t="n"/>
      <c r="F226" s="21" t="n"/>
      <c r="G226" s="21" t="n"/>
      <c r="H226" s="22" t="n"/>
      <c r="I226" s="23" t="n"/>
      <c r="J226" s="22" t="n"/>
      <c r="K226" s="24" t="n"/>
      <c r="L226" s="24" t="n"/>
      <c r="M226" s="24" t="n"/>
      <c r="N226" s="21" t="n"/>
      <c r="O226" s="24" t="n"/>
      <c r="P226" s="19" t="n"/>
      <c r="Q226" s="20" t="n"/>
      <c r="R226" s="23" t="n"/>
      <c r="S226" s="23" t="n"/>
      <c r="T226" s="21" t="n"/>
      <c r="U226" s="21" t="n"/>
      <c r="V226" s="21" t="n"/>
      <c r="W226" s="21" t="n"/>
      <c r="X226" s="21" t="n"/>
      <c r="Y226" s="25">
        <f>IF($C226="","",IF(E226="XAUUSD",0.1,IF(ISNUMBER(SEARCH("JPY",E226)),0.01,0.0001)))</f>
        <v/>
      </c>
      <c r="Z226" s="18">
        <f>IF($C226="","",IF(F226="Sell",-1,1))</f>
        <v/>
      </c>
      <c r="AA226" s="18">
        <f>IF($C226="","",IF(E226="XAUUSD",100,100000))</f>
        <v/>
      </c>
      <c r="AB226" s="26">
        <f>IF(OR(K226="",L226=""),"",ABS(K226-L226)/Y226)</f>
        <v/>
      </c>
      <c r="AC226" s="26">
        <f>IF(OR(K226="",M226=""),"",ABS(M226-K226)/Y226)</f>
        <v/>
      </c>
      <c r="AD226" s="26">
        <f>IF(OR(K226="",O226=""),"",(O226-K226)*Z226/Y226)</f>
        <v/>
      </c>
      <c r="AE226" s="27">
        <f>IF(OR(AB226="",AB226=0,AC226=""),"",AC226/AB226)</f>
        <v/>
      </c>
      <c r="AF226" s="27">
        <f>IF(OR(AB226="",AB226=0,AD226=""),"",AD226/AB226)</f>
        <v/>
      </c>
      <c r="AG226" s="27">
        <f>IF(OR(C226="",P226=""),"",((P226+IF(Q226="",0,Q226))-(C226+IF(D226="",0,D226)))*24)</f>
        <v/>
      </c>
      <c r="AH226" s="18">
        <f>IF(AG226="","",INT(AG226/24)&amp;"d "&amp;INT(MOD(AG226,24))&amp;"h "&amp;INT(MOD(AG226*60,60))&amp;"m")</f>
        <v/>
      </c>
      <c r="AI226" s="28">
        <f>IF(OR(O226="",K226="",H226=""),"",IF(OR(E226="XAUUSD",RIGHT(E226,3)="USD"),(O226-K226)*Z226*AA226*H226,IF(LEFT(E226,3)="USD",IF(O226=0,"",(O226-K226)*Z226*AA226*H226/O226),AD226*10*H226)))</f>
        <v/>
      </c>
      <c r="AJ226" s="28">
        <f>IF(O226="","",IF(S226="",IF(AI226="",0,AI226),S226)-IF(R226="",0,R226))</f>
        <v/>
      </c>
      <c r="AK226" s="18">
        <f>IF(C226="","",IF(OR(O226="",P226=""),"Open",IF(ABS(AJ226)&lt;=BEThreshold,"BE",IF(AJ226&gt;0,"Win","Loss"))))</f>
        <v/>
      </c>
      <c r="AL226" s="28">
        <f>IF(OR(C226="",AK226="Open"),"",InitialCapital+SUMIFS($AJ$2:AJ226,$AK$2:AK226,"&lt;&gt;Open"))</f>
        <v/>
      </c>
      <c r="AM226" s="18">
        <f>IF(OR(C226="",AK226=""),"",IF(AK226="Open","No","Yes"))</f>
        <v/>
      </c>
    </row>
    <row r="227" ht="18" customHeight="1">
      <c r="A227" s="18">
        <f>IF(C227="","",COUNTA($C$2:C227))</f>
        <v/>
      </c>
      <c r="B227" s="18">
        <f>IF(C227="","",TEXT(C227,"dddd"))</f>
        <v/>
      </c>
      <c r="C227" s="19" t="n"/>
      <c r="D227" s="20" t="n"/>
      <c r="E227" s="21" t="n"/>
      <c r="F227" s="21" t="n"/>
      <c r="G227" s="21" t="n"/>
      <c r="H227" s="22" t="n"/>
      <c r="I227" s="23" t="n"/>
      <c r="J227" s="22" t="n"/>
      <c r="K227" s="24" t="n"/>
      <c r="L227" s="24" t="n"/>
      <c r="M227" s="24" t="n"/>
      <c r="N227" s="21" t="n"/>
      <c r="O227" s="24" t="n"/>
      <c r="P227" s="19" t="n"/>
      <c r="Q227" s="20" t="n"/>
      <c r="R227" s="23" t="n"/>
      <c r="S227" s="23" t="n"/>
      <c r="T227" s="21" t="n"/>
      <c r="U227" s="21" t="n"/>
      <c r="V227" s="21" t="n"/>
      <c r="W227" s="21" t="n"/>
      <c r="X227" s="21" t="n"/>
      <c r="Y227" s="25">
        <f>IF($C227="","",IF(E227="XAUUSD",0.1,IF(ISNUMBER(SEARCH("JPY",E227)),0.01,0.0001)))</f>
        <v/>
      </c>
      <c r="Z227" s="18">
        <f>IF($C227="","",IF(F227="Sell",-1,1))</f>
        <v/>
      </c>
      <c r="AA227" s="18">
        <f>IF($C227="","",IF(E227="XAUUSD",100,100000))</f>
        <v/>
      </c>
      <c r="AB227" s="26">
        <f>IF(OR(K227="",L227=""),"",ABS(K227-L227)/Y227)</f>
        <v/>
      </c>
      <c r="AC227" s="26">
        <f>IF(OR(K227="",M227=""),"",ABS(M227-K227)/Y227)</f>
        <v/>
      </c>
      <c r="AD227" s="26">
        <f>IF(OR(K227="",O227=""),"",(O227-K227)*Z227/Y227)</f>
        <v/>
      </c>
      <c r="AE227" s="27">
        <f>IF(OR(AB227="",AB227=0,AC227=""),"",AC227/AB227)</f>
        <v/>
      </c>
      <c r="AF227" s="27">
        <f>IF(OR(AB227="",AB227=0,AD227=""),"",AD227/AB227)</f>
        <v/>
      </c>
      <c r="AG227" s="27">
        <f>IF(OR(C227="",P227=""),"",((P227+IF(Q227="",0,Q227))-(C227+IF(D227="",0,D227)))*24)</f>
        <v/>
      </c>
      <c r="AH227" s="18">
        <f>IF(AG227="","",INT(AG227/24)&amp;"d "&amp;INT(MOD(AG227,24))&amp;"h "&amp;INT(MOD(AG227*60,60))&amp;"m")</f>
        <v/>
      </c>
      <c r="AI227" s="28">
        <f>IF(OR(O227="",K227="",H227=""),"",IF(OR(E227="XAUUSD",RIGHT(E227,3)="USD"),(O227-K227)*Z227*AA227*H227,IF(LEFT(E227,3)="USD",IF(O227=0,"",(O227-K227)*Z227*AA227*H227/O227),AD227*10*H227)))</f>
        <v/>
      </c>
      <c r="AJ227" s="28">
        <f>IF(O227="","",IF(S227="",IF(AI227="",0,AI227),S227)-IF(R227="",0,R227))</f>
        <v/>
      </c>
      <c r="AK227" s="18">
        <f>IF(C227="","",IF(OR(O227="",P227=""),"Open",IF(ABS(AJ227)&lt;=BEThreshold,"BE",IF(AJ227&gt;0,"Win","Loss"))))</f>
        <v/>
      </c>
      <c r="AL227" s="28">
        <f>IF(OR(C227="",AK227="Open"),"",InitialCapital+SUMIFS($AJ$2:AJ227,$AK$2:AK227,"&lt;&gt;Open"))</f>
        <v/>
      </c>
      <c r="AM227" s="18">
        <f>IF(OR(C227="",AK227=""),"",IF(AK227="Open","No","Yes"))</f>
        <v/>
      </c>
    </row>
    <row r="228" ht="18" customHeight="1">
      <c r="A228" s="18">
        <f>IF(C228="","",COUNTA($C$2:C228))</f>
        <v/>
      </c>
      <c r="B228" s="18">
        <f>IF(C228="","",TEXT(C228,"dddd"))</f>
        <v/>
      </c>
      <c r="C228" s="19" t="n"/>
      <c r="D228" s="20" t="n"/>
      <c r="E228" s="21" t="n"/>
      <c r="F228" s="21" t="n"/>
      <c r="G228" s="21" t="n"/>
      <c r="H228" s="22" t="n"/>
      <c r="I228" s="23" t="n"/>
      <c r="J228" s="22" t="n"/>
      <c r="K228" s="24" t="n"/>
      <c r="L228" s="24" t="n"/>
      <c r="M228" s="24" t="n"/>
      <c r="N228" s="21" t="n"/>
      <c r="O228" s="24" t="n"/>
      <c r="P228" s="19" t="n"/>
      <c r="Q228" s="20" t="n"/>
      <c r="R228" s="23" t="n"/>
      <c r="S228" s="23" t="n"/>
      <c r="T228" s="21" t="n"/>
      <c r="U228" s="21" t="n"/>
      <c r="V228" s="21" t="n"/>
      <c r="W228" s="21" t="n"/>
      <c r="X228" s="21" t="n"/>
      <c r="Y228" s="25">
        <f>IF($C228="","",IF(E228="XAUUSD",0.1,IF(ISNUMBER(SEARCH("JPY",E228)),0.01,0.0001)))</f>
        <v/>
      </c>
      <c r="Z228" s="18">
        <f>IF($C228="","",IF(F228="Sell",-1,1))</f>
        <v/>
      </c>
      <c r="AA228" s="18">
        <f>IF($C228="","",IF(E228="XAUUSD",100,100000))</f>
        <v/>
      </c>
      <c r="AB228" s="26">
        <f>IF(OR(K228="",L228=""),"",ABS(K228-L228)/Y228)</f>
        <v/>
      </c>
      <c r="AC228" s="26">
        <f>IF(OR(K228="",M228=""),"",ABS(M228-K228)/Y228)</f>
        <v/>
      </c>
      <c r="AD228" s="26">
        <f>IF(OR(K228="",O228=""),"",(O228-K228)*Z228/Y228)</f>
        <v/>
      </c>
      <c r="AE228" s="27">
        <f>IF(OR(AB228="",AB228=0,AC228=""),"",AC228/AB228)</f>
        <v/>
      </c>
      <c r="AF228" s="27">
        <f>IF(OR(AB228="",AB228=0,AD228=""),"",AD228/AB228)</f>
        <v/>
      </c>
      <c r="AG228" s="27">
        <f>IF(OR(C228="",P228=""),"",((P228+IF(Q228="",0,Q228))-(C228+IF(D228="",0,D228)))*24)</f>
        <v/>
      </c>
      <c r="AH228" s="18">
        <f>IF(AG228="","",INT(AG228/24)&amp;"d "&amp;INT(MOD(AG228,24))&amp;"h "&amp;INT(MOD(AG228*60,60))&amp;"m")</f>
        <v/>
      </c>
      <c r="AI228" s="28">
        <f>IF(OR(O228="",K228="",H228=""),"",IF(OR(E228="XAUUSD",RIGHT(E228,3)="USD"),(O228-K228)*Z228*AA228*H228,IF(LEFT(E228,3)="USD",IF(O228=0,"",(O228-K228)*Z228*AA228*H228/O228),AD228*10*H228)))</f>
        <v/>
      </c>
      <c r="AJ228" s="28">
        <f>IF(O228="","",IF(S228="",IF(AI228="",0,AI228),S228)-IF(R228="",0,R228))</f>
        <v/>
      </c>
      <c r="AK228" s="18">
        <f>IF(C228="","",IF(OR(O228="",P228=""),"Open",IF(ABS(AJ228)&lt;=BEThreshold,"BE",IF(AJ228&gt;0,"Win","Loss"))))</f>
        <v/>
      </c>
      <c r="AL228" s="28">
        <f>IF(OR(C228="",AK228="Open"),"",InitialCapital+SUMIFS($AJ$2:AJ228,$AK$2:AK228,"&lt;&gt;Open"))</f>
        <v/>
      </c>
      <c r="AM228" s="18">
        <f>IF(OR(C228="",AK228=""),"",IF(AK228="Open","No","Yes"))</f>
        <v/>
      </c>
    </row>
    <row r="229" ht="18" customHeight="1">
      <c r="A229" s="18">
        <f>IF(C229="","",COUNTA($C$2:C229))</f>
        <v/>
      </c>
      <c r="B229" s="18">
        <f>IF(C229="","",TEXT(C229,"dddd"))</f>
        <v/>
      </c>
      <c r="C229" s="19" t="n"/>
      <c r="D229" s="20" t="n"/>
      <c r="E229" s="21" t="n"/>
      <c r="F229" s="21" t="n"/>
      <c r="G229" s="21" t="n"/>
      <c r="H229" s="22" t="n"/>
      <c r="I229" s="23" t="n"/>
      <c r="J229" s="22" t="n"/>
      <c r="K229" s="24" t="n"/>
      <c r="L229" s="24" t="n"/>
      <c r="M229" s="24" t="n"/>
      <c r="N229" s="21" t="n"/>
      <c r="O229" s="24" t="n"/>
      <c r="P229" s="19" t="n"/>
      <c r="Q229" s="20" t="n"/>
      <c r="R229" s="23" t="n"/>
      <c r="S229" s="23" t="n"/>
      <c r="T229" s="21" t="n"/>
      <c r="U229" s="21" t="n"/>
      <c r="V229" s="21" t="n"/>
      <c r="W229" s="21" t="n"/>
      <c r="X229" s="21" t="n"/>
      <c r="Y229" s="25">
        <f>IF($C229="","",IF(E229="XAUUSD",0.1,IF(ISNUMBER(SEARCH("JPY",E229)),0.01,0.0001)))</f>
        <v/>
      </c>
      <c r="Z229" s="18">
        <f>IF($C229="","",IF(F229="Sell",-1,1))</f>
        <v/>
      </c>
      <c r="AA229" s="18">
        <f>IF($C229="","",IF(E229="XAUUSD",100,100000))</f>
        <v/>
      </c>
      <c r="AB229" s="26">
        <f>IF(OR(K229="",L229=""),"",ABS(K229-L229)/Y229)</f>
        <v/>
      </c>
      <c r="AC229" s="26">
        <f>IF(OR(K229="",M229=""),"",ABS(M229-K229)/Y229)</f>
        <v/>
      </c>
      <c r="AD229" s="26">
        <f>IF(OR(K229="",O229=""),"",(O229-K229)*Z229/Y229)</f>
        <v/>
      </c>
      <c r="AE229" s="27">
        <f>IF(OR(AB229="",AB229=0,AC229=""),"",AC229/AB229)</f>
        <v/>
      </c>
      <c r="AF229" s="27">
        <f>IF(OR(AB229="",AB229=0,AD229=""),"",AD229/AB229)</f>
        <v/>
      </c>
      <c r="AG229" s="27">
        <f>IF(OR(C229="",P229=""),"",((P229+IF(Q229="",0,Q229))-(C229+IF(D229="",0,D229)))*24)</f>
        <v/>
      </c>
      <c r="AH229" s="18">
        <f>IF(AG229="","",INT(AG229/24)&amp;"d "&amp;INT(MOD(AG229,24))&amp;"h "&amp;INT(MOD(AG229*60,60))&amp;"m")</f>
        <v/>
      </c>
      <c r="AI229" s="28">
        <f>IF(OR(O229="",K229="",H229=""),"",IF(OR(E229="XAUUSD",RIGHT(E229,3)="USD"),(O229-K229)*Z229*AA229*H229,IF(LEFT(E229,3)="USD",IF(O229=0,"",(O229-K229)*Z229*AA229*H229/O229),AD229*10*H229)))</f>
        <v/>
      </c>
      <c r="AJ229" s="28">
        <f>IF(O229="","",IF(S229="",IF(AI229="",0,AI229),S229)-IF(R229="",0,R229))</f>
        <v/>
      </c>
      <c r="AK229" s="18">
        <f>IF(C229="","",IF(OR(O229="",P229=""),"Open",IF(ABS(AJ229)&lt;=BEThreshold,"BE",IF(AJ229&gt;0,"Win","Loss"))))</f>
        <v/>
      </c>
      <c r="AL229" s="28">
        <f>IF(OR(C229="",AK229="Open"),"",InitialCapital+SUMIFS($AJ$2:AJ229,$AK$2:AK229,"&lt;&gt;Open"))</f>
        <v/>
      </c>
      <c r="AM229" s="18">
        <f>IF(OR(C229="",AK229=""),"",IF(AK229="Open","No","Yes"))</f>
        <v/>
      </c>
    </row>
    <row r="230" ht="18" customHeight="1">
      <c r="A230" s="18">
        <f>IF(C230="","",COUNTA($C$2:C230))</f>
        <v/>
      </c>
      <c r="B230" s="18">
        <f>IF(C230="","",TEXT(C230,"dddd"))</f>
        <v/>
      </c>
      <c r="C230" s="19" t="n"/>
      <c r="D230" s="20" t="n"/>
      <c r="E230" s="21" t="n"/>
      <c r="F230" s="21" t="n"/>
      <c r="G230" s="21" t="n"/>
      <c r="H230" s="22" t="n"/>
      <c r="I230" s="23" t="n"/>
      <c r="J230" s="22" t="n"/>
      <c r="K230" s="24" t="n"/>
      <c r="L230" s="24" t="n"/>
      <c r="M230" s="24" t="n"/>
      <c r="N230" s="21" t="n"/>
      <c r="O230" s="24" t="n"/>
      <c r="P230" s="19" t="n"/>
      <c r="Q230" s="20" t="n"/>
      <c r="R230" s="23" t="n"/>
      <c r="S230" s="23" t="n"/>
      <c r="T230" s="21" t="n"/>
      <c r="U230" s="21" t="n"/>
      <c r="V230" s="21" t="n"/>
      <c r="W230" s="21" t="n"/>
      <c r="X230" s="21" t="n"/>
      <c r="Y230" s="25">
        <f>IF($C230="","",IF(E230="XAUUSD",0.1,IF(ISNUMBER(SEARCH("JPY",E230)),0.01,0.0001)))</f>
        <v/>
      </c>
      <c r="Z230" s="18">
        <f>IF($C230="","",IF(F230="Sell",-1,1))</f>
        <v/>
      </c>
      <c r="AA230" s="18">
        <f>IF($C230="","",IF(E230="XAUUSD",100,100000))</f>
        <v/>
      </c>
      <c r="AB230" s="26">
        <f>IF(OR(K230="",L230=""),"",ABS(K230-L230)/Y230)</f>
        <v/>
      </c>
      <c r="AC230" s="26">
        <f>IF(OR(K230="",M230=""),"",ABS(M230-K230)/Y230)</f>
        <v/>
      </c>
      <c r="AD230" s="26">
        <f>IF(OR(K230="",O230=""),"",(O230-K230)*Z230/Y230)</f>
        <v/>
      </c>
      <c r="AE230" s="27">
        <f>IF(OR(AB230="",AB230=0,AC230=""),"",AC230/AB230)</f>
        <v/>
      </c>
      <c r="AF230" s="27">
        <f>IF(OR(AB230="",AB230=0,AD230=""),"",AD230/AB230)</f>
        <v/>
      </c>
      <c r="AG230" s="27">
        <f>IF(OR(C230="",P230=""),"",((P230+IF(Q230="",0,Q230))-(C230+IF(D230="",0,D230)))*24)</f>
        <v/>
      </c>
      <c r="AH230" s="18">
        <f>IF(AG230="","",INT(AG230/24)&amp;"d "&amp;INT(MOD(AG230,24))&amp;"h "&amp;INT(MOD(AG230*60,60))&amp;"m")</f>
        <v/>
      </c>
      <c r="AI230" s="28">
        <f>IF(OR(O230="",K230="",H230=""),"",IF(OR(E230="XAUUSD",RIGHT(E230,3)="USD"),(O230-K230)*Z230*AA230*H230,IF(LEFT(E230,3)="USD",IF(O230=0,"",(O230-K230)*Z230*AA230*H230/O230),AD230*10*H230)))</f>
        <v/>
      </c>
      <c r="AJ230" s="28">
        <f>IF(O230="","",IF(S230="",IF(AI230="",0,AI230),S230)-IF(R230="",0,R230))</f>
        <v/>
      </c>
      <c r="AK230" s="18">
        <f>IF(C230="","",IF(OR(O230="",P230=""),"Open",IF(ABS(AJ230)&lt;=BEThreshold,"BE",IF(AJ230&gt;0,"Win","Loss"))))</f>
        <v/>
      </c>
      <c r="AL230" s="28">
        <f>IF(OR(C230="",AK230="Open"),"",InitialCapital+SUMIFS($AJ$2:AJ230,$AK$2:AK230,"&lt;&gt;Open"))</f>
        <v/>
      </c>
      <c r="AM230" s="18">
        <f>IF(OR(C230="",AK230=""),"",IF(AK230="Open","No","Yes"))</f>
        <v/>
      </c>
    </row>
    <row r="231" ht="18" customHeight="1">
      <c r="A231" s="18">
        <f>IF(C231="","",COUNTA($C$2:C231))</f>
        <v/>
      </c>
      <c r="B231" s="18">
        <f>IF(C231="","",TEXT(C231,"dddd"))</f>
        <v/>
      </c>
      <c r="C231" s="19" t="n"/>
      <c r="D231" s="20" t="n"/>
      <c r="E231" s="21" t="n"/>
      <c r="F231" s="21" t="n"/>
      <c r="G231" s="21" t="n"/>
      <c r="H231" s="22" t="n"/>
      <c r="I231" s="23" t="n"/>
      <c r="J231" s="22" t="n"/>
      <c r="K231" s="24" t="n"/>
      <c r="L231" s="24" t="n"/>
      <c r="M231" s="24" t="n"/>
      <c r="N231" s="21" t="n"/>
      <c r="O231" s="24" t="n"/>
      <c r="P231" s="19" t="n"/>
      <c r="Q231" s="20" t="n"/>
      <c r="R231" s="23" t="n"/>
      <c r="S231" s="23" t="n"/>
      <c r="T231" s="21" t="n"/>
      <c r="U231" s="21" t="n"/>
      <c r="V231" s="21" t="n"/>
      <c r="W231" s="21" t="n"/>
      <c r="X231" s="21" t="n"/>
      <c r="Y231" s="25">
        <f>IF($C231="","",IF(E231="XAUUSD",0.1,IF(ISNUMBER(SEARCH("JPY",E231)),0.01,0.0001)))</f>
        <v/>
      </c>
      <c r="Z231" s="18">
        <f>IF($C231="","",IF(F231="Sell",-1,1))</f>
        <v/>
      </c>
      <c r="AA231" s="18">
        <f>IF($C231="","",IF(E231="XAUUSD",100,100000))</f>
        <v/>
      </c>
      <c r="AB231" s="26">
        <f>IF(OR(K231="",L231=""),"",ABS(K231-L231)/Y231)</f>
        <v/>
      </c>
      <c r="AC231" s="26">
        <f>IF(OR(K231="",M231=""),"",ABS(M231-K231)/Y231)</f>
        <v/>
      </c>
      <c r="AD231" s="26">
        <f>IF(OR(K231="",O231=""),"",(O231-K231)*Z231/Y231)</f>
        <v/>
      </c>
      <c r="AE231" s="27">
        <f>IF(OR(AB231="",AB231=0,AC231=""),"",AC231/AB231)</f>
        <v/>
      </c>
      <c r="AF231" s="27">
        <f>IF(OR(AB231="",AB231=0,AD231=""),"",AD231/AB231)</f>
        <v/>
      </c>
      <c r="AG231" s="27">
        <f>IF(OR(C231="",P231=""),"",((P231+IF(Q231="",0,Q231))-(C231+IF(D231="",0,D231)))*24)</f>
        <v/>
      </c>
      <c r="AH231" s="18">
        <f>IF(AG231="","",INT(AG231/24)&amp;"d "&amp;INT(MOD(AG231,24))&amp;"h "&amp;INT(MOD(AG231*60,60))&amp;"m")</f>
        <v/>
      </c>
      <c r="AI231" s="28">
        <f>IF(OR(O231="",K231="",H231=""),"",IF(OR(E231="XAUUSD",RIGHT(E231,3)="USD"),(O231-K231)*Z231*AA231*H231,IF(LEFT(E231,3)="USD",IF(O231=0,"",(O231-K231)*Z231*AA231*H231/O231),AD231*10*H231)))</f>
        <v/>
      </c>
      <c r="AJ231" s="28">
        <f>IF(O231="","",IF(S231="",IF(AI231="",0,AI231),S231)-IF(R231="",0,R231))</f>
        <v/>
      </c>
      <c r="AK231" s="18">
        <f>IF(C231="","",IF(OR(O231="",P231=""),"Open",IF(ABS(AJ231)&lt;=BEThreshold,"BE",IF(AJ231&gt;0,"Win","Loss"))))</f>
        <v/>
      </c>
      <c r="AL231" s="28">
        <f>IF(OR(C231="",AK231="Open"),"",InitialCapital+SUMIFS($AJ$2:AJ231,$AK$2:AK231,"&lt;&gt;Open"))</f>
        <v/>
      </c>
      <c r="AM231" s="18">
        <f>IF(OR(C231="",AK231=""),"",IF(AK231="Open","No","Yes"))</f>
        <v/>
      </c>
    </row>
    <row r="232" ht="18" customHeight="1">
      <c r="A232" s="18">
        <f>IF(C232="","",COUNTA($C$2:C232))</f>
        <v/>
      </c>
      <c r="B232" s="18">
        <f>IF(C232="","",TEXT(C232,"dddd"))</f>
        <v/>
      </c>
      <c r="C232" s="19" t="n"/>
      <c r="D232" s="20" t="n"/>
      <c r="E232" s="21" t="n"/>
      <c r="F232" s="21" t="n"/>
      <c r="G232" s="21" t="n"/>
      <c r="H232" s="22" t="n"/>
      <c r="I232" s="23" t="n"/>
      <c r="J232" s="22" t="n"/>
      <c r="K232" s="24" t="n"/>
      <c r="L232" s="24" t="n"/>
      <c r="M232" s="24" t="n"/>
      <c r="N232" s="21" t="n"/>
      <c r="O232" s="24" t="n"/>
      <c r="P232" s="19" t="n"/>
      <c r="Q232" s="20" t="n"/>
      <c r="R232" s="23" t="n"/>
      <c r="S232" s="23" t="n"/>
      <c r="T232" s="21" t="n"/>
      <c r="U232" s="21" t="n"/>
      <c r="V232" s="21" t="n"/>
      <c r="W232" s="21" t="n"/>
      <c r="X232" s="21" t="n"/>
      <c r="Y232" s="25">
        <f>IF($C232="","",IF(E232="XAUUSD",0.1,IF(ISNUMBER(SEARCH("JPY",E232)),0.01,0.0001)))</f>
        <v/>
      </c>
      <c r="Z232" s="18">
        <f>IF($C232="","",IF(F232="Sell",-1,1))</f>
        <v/>
      </c>
      <c r="AA232" s="18">
        <f>IF($C232="","",IF(E232="XAUUSD",100,100000))</f>
        <v/>
      </c>
      <c r="AB232" s="26">
        <f>IF(OR(K232="",L232=""),"",ABS(K232-L232)/Y232)</f>
        <v/>
      </c>
      <c r="AC232" s="26">
        <f>IF(OR(K232="",M232=""),"",ABS(M232-K232)/Y232)</f>
        <v/>
      </c>
      <c r="AD232" s="26">
        <f>IF(OR(K232="",O232=""),"",(O232-K232)*Z232/Y232)</f>
        <v/>
      </c>
      <c r="AE232" s="27">
        <f>IF(OR(AB232="",AB232=0,AC232=""),"",AC232/AB232)</f>
        <v/>
      </c>
      <c r="AF232" s="27">
        <f>IF(OR(AB232="",AB232=0,AD232=""),"",AD232/AB232)</f>
        <v/>
      </c>
      <c r="AG232" s="27">
        <f>IF(OR(C232="",P232=""),"",((P232+IF(Q232="",0,Q232))-(C232+IF(D232="",0,D232)))*24)</f>
        <v/>
      </c>
      <c r="AH232" s="18">
        <f>IF(AG232="","",INT(AG232/24)&amp;"d "&amp;INT(MOD(AG232,24))&amp;"h "&amp;INT(MOD(AG232*60,60))&amp;"m")</f>
        <v/>
      </c>
      <c r="AI232" s="28">
        <f>IF(OR(O232="",K232="",H232=""),"",IF(OR(E232="XAUUSD",RIGHT(E232,3)="USD"),(O232-K232)*Z232*AA232*H232,IF(LEFT(E232,3)="USD",IF(O232=0,"",(O232-K232)*Z232*AA232*H232/O232),AD232*10*H232)))</f>
        <v/>
      </c>
      <c r="AJ232" s="28">
        <f>IF(O232="","",IF(S232="",IF(AI232="",0,AI232),S232)-IF(R232="",0,R232))</f>
        <v/>
      </c>
      <c r="AK232" s="18">
        <f>IF(C232="","",IF(OR(O232="",P232=""),"Open",IF(ABS(AJ232)&lt;=BEThreshold,"BE",IF(AJ232&gt;0,"Win","Loss"))))</f>
        <v/>
      </c>
      <c r="AL232" s="28">
        <f>IF(OR(C232="",AK232="Open"),"",InitialCapital+SUMIFS($AJ$2:AJ232,$AK$2:AK232,"&lt;&gt;Open"))</f>
        <v/>
      </c>
      <c r="AM232" s="18">
        <f>IF(OR(C232="",AK232=""),"",IF(AK232="Open","No","Yes"))</f>
        <v/>
      </c>
    </row>
    <row r="233" ht="18" customHeight="1">
      <c r="A233" s="18">
        <f>IF(C233="","",COUNTA($C$2:C233))</f>
        <v/>
      </c>
      <c r="B233" s="18">
        <f>IF(C233="","",TEXT(C233,"dddd"))</f>
        <v/>
      </c>
      <c r="C233" s="19" t="n"/>
      <c r="D233" s="20" t="n"/>
      <c r="E233" s="21" t="n"/>
      <c r="F233" s="21" t="n"/>
      <c r="G233" s="21" t="n"/>
      <c r="H233" s="22" t="n"/>
      <c r="I233" s="23" t="n"/>
      <c r="J233" s="22" t="n"/>
      <c r="K233" s="24" t="n"/>
      <c r="L233" s="24" t="n"/>
      <c r="M233" s="24" t="n"/>
      <c r="N233" s="21" t="n"/>
      <c r="O233" s="24" t="n"/>
      <c r="P233" s="19" t="n"/>
      <c r="Q233" s="20" t="n"/>
      <c r="R233" s="23" t="n"/>
      <c r="S233" s="23" t="n"/>
      <c r="T233" s="21" t="n"/>
      <c r="U233" s="21" t="n"/>
      <c r="V233" s="21" t="n"/>
      <c r="W233" s="21" t="n"/>
      <c r="X233" s="21" t="n"/>
      <c r="Y233" s="25">
        <f>IF($C233="","",IF(E233="XAUUSD",0.1,IF(ISNUMBER(SEARCH("JPY",E233)),0.01,0.0001)))</f>
        <v/>
      </c>
      <c r="Z233" s="18">
        <f>IF($C233="","",IF(F233="Sell",-1,1))</f>
        <v/>
      </c>
      <c r="AA233" s="18">
        <f>IF($C233="","",IF(E233="XAUUSD",100,100000))</f>
        <v/>
      </c>
      <c r="AB233" s="26">
        <f>IF(OR(K233="",L233=""),"",ABS(K233-L233)/Y233)</f>
        <v/>
      </c>
      <c r="AC233" s="26">
        <f>IF(OR(K233="",M233=""),"",ABS(M233-K233)/Y233)</f>
        <v/>
      </c>
      <c r="AD233" s="26">
        <f>IF(OR(K233="",O233=""),"",(O233-K233)*Z233/Y233)</f>
        <v/>
      </c>
      <c r="AE233" s="27">
        <f>IF(OR(AB233="",AB233=0,AC233=""),"",AC233/AB233)</f>
        <v/>
      </c>
      <c r="AF233" s="27">
        <f>IF(OR(AB233="",AB233=0,AD233=""),"",AD233/AB233)</f>
        <v/>
      </c>
      <c r="AG233" s="27">
        <f>IF(OR(C233="",P233=""),"",((P233+IF(Q233="",0,Q233))-(C233+IF(D233="",0,D233)))*24)</f>
        <v/>
      </c>
      <c r="AH233" s="18">
        <f>IF(AG233="","",INT(AG233/24)&amp;"d "&amp;INT(MOD(AG233,24))&amp;"h "&amp;INT(MOD(AG233*60,60))&amp;"m")</f>
        <v/>
      </c>
      <c r="AI233" s="28">
        <f>IF(OR(O233="",K233="",H233=""),"",IF(OR(E233="XAUUSD",RIGHT(E233,3)="USD"),(O233-K233)*Z233*AA233*H233,IF(LEFT(E233,3)="USD",IF(O233=0,"",(O233-K233)*Z233*AA233*H233/O233),AD233*10*H233)))</f>
        <v/>
      </c>
      <c r="AJ233" s="28">
        <f>IF(O233="","",IF(S233="",IF(AI233="",0,AI233),S233)-IF(R233="",0,R233))</f>
        <v/>
      </c>
      <c r="AK233" s="18">
        <f>IF(C233="","",IF(OR(O233="",P233=""),"Open",IF(ABS(AJ233)&lt;=BEThreshold,"BE",IF(AJ233&gt;0,"Win","Loss"))))</f>
        <v/>
      </c>
      <c r="AL233" s="28">
        <f>IF(OR(C233="",AK233="Open"),"",InitialCapital+SUMIFS($AJ$2:AJ233,$AK$2:AK233,"&lt;&gt;Open"))</f>
        <v/>
      </c>
      <c r="AM233" s="18">
        <f>IF(OR(C233="",AK233=""),"",IF(AK233="Open","No","Yes"))</f>
        <v/>
      </c>
    </row>
    <row r="234" ht="18" customHeight="1">
      <c r="A234" s="18">
        <f>IF(C234="","",COUNTA($C$2:C234))</f>
        <v/>
      </c>
      <c r="B234" s="18">
        <f>IF(C234="","",TEXT(C234,"dddd"))</f>
        <v/>
      </c>
      <c r="C234" s="19" t="n"/>
      <c r="D234" s="20" t="n"/>
      <c r="E234" s="21" t="n"/>
      <c r="F234" s="21" t="n"/>
      <c r="G234" s="21" t="n"/>
      <c r="H234" s="22" t="n"/>
      <c r="I234" s="23" t="n"/>
      <c r="J234" s="22" t="n"/>
      <c r="K234" s="24" t="n"/>
      <c r="L234" s="24" t="n"/>
      <c r="M234" s="24" t="n"/>
      <c r="N234" s="21" t="n"/>
      <c r="O234" s="24" t="n"/>
      <c r="P234" s="19" t="n"/>
      <c r="Q234" s="20" t="n"/>
      <c r="R234" s="23" t="n"/>
      <c r="S234" s="23" t="n"/>
      <c r="T234" s="21" t="n"/>
      <c r="U234" s="21" t="n"/>
      <c r="V234" s="21" t="n"/>
      <c r="W234" s="21" t="n"/>
      <c r="X234" s="21" t="n"/>
      <c r="Y234" s="25">
        <f>IF($C234="","",IF(E234="XAUUSD",0.1,IF(ISNUMBER(SEARCH("JPY",E234)),0.01,0.0001)))</f>
        <v/>
      </c>
      <c r="Z234" s="18">
        <f>IF($C234="","",IF(F234="Sell",-1,1))</f>
        <v/>
      </c>
      <c r="AA234" s="18">
        <f>IF($C234="","",IF(E234="XAUUSD",100,100000))</f>
        <v/>
      </c>
      <c r="AB234" s="26">
        <f>IF(OR(K234="",L234=""),"",ABS(K234-L234)/Y234)</f>
        <v/>
      </c>
      <c r="AC234" s="26">
        <f>IF(OR(K234="",M234=""),"",ABS(M234-K234)/Y234)</f>
        <v/>
      </c>
      <c r="AD234" s="26">
        <f>IF(OR(K234="",O234=""),"",(O234-K234)*Z234/Y234)</f>
        <v/>
      </c>
      <c r="AE234" s="27">
        <f>IF(OR(AB234="",AB234=0,AC234=""),"",AC234/AB234)</f>
        <v/>
      </c>
      <c r="AF234" s="27">
        <f>IF(OR(AB234="",AB234=0,AD234=""),"",AD234/AB234)</f>
        <v/>
      </c>
      <c r="AG234" s="27">
        <f>IF(OR(C234="",P234=""),"",((P234+IF(Q234="",0,Q234))-(C234+IF(D234="",0,D234)))*24)</f>
        <v/>
      </c>
      <c r="AH234" s="18">
        <f>IF(AG234="","",INT(AG234/24)&amp;"d "&amp;INT(MOD(AG234,24))&amp;"h "&amp;INT(MOD(AG234*60,60))&amp;"m")</f>
        <v/>
      </c>
      <c r="AI234" s="28">
        <f>IF(OR(O234="",K234="",H234=""),"",IF(OR(E234="XAUUSD",RIGHT(E234,3)="USD"),(O234-K234)*Z234*AA234*H234,IF(LEFT(E234,3)="USD",IF(O234=0,"",(O234-K234)*Z234*AA234*H234/O234),AD234*10*H234)))</f>
        <v/>
      </c>
      <c r="AJ234" s="28">
        <f>IF(O234="","",IF(S234="",IF(AI234="",0,AI234),S234)-IF(R234="",0,R234))</f>
        <v/>
      </c>
      <c r="AK234" s="18">
        <f>IF(C234="","",IF(OR(O234="",P234=""),"Open",IF(ABS(AJ234)&lt;=BEThreshold,"BE",IF(AJ234&gt;0,"Win","Loss"))))</f>
        <v/>
      </c>
      <c r="AL234" s="28">
        <f>IF(OR(C234="",AK234="Open"),"",InitialCapital+SUMIFS($AJ$2:AJ234,$AK$2:AK234,"&lt;&gt;Open"))</f>
        <v/>
      </c>
      <c r="AM234" s="18">
        <f>IF(OR(C234="",AK234=""),"",IF(AK234="Open","No","Yes"))</f>
        <v/>
      </c>
    </row>
    <row r="235" ht="18" customHeight="1">
      <c r="A235" s="18">
        <f>IF(C235="","",COUNTA($C$2:C235))</f>
        <v/>
      </c>
      <c r="B235" s="18">
        <f>IF(C235="","",TEXT(C235,"dddd"))</f>
        <v/>
      </c>
      <c r="C235" s="19" t="n"/>
      <c r="D235" s="20" t="n"/>
      <c r="E235" s="21" t="n"/>
      <c r="F235" s="21" t="n"/>
      <c r="G235" s="21" t="n"/>
      <c r="H235" s="22" t="n"/>
      <c r="I235" s="23" t="n"/>
      <c r="J235" s="22" t="n"/>
      <c r="K235" s="24" t="n"/>
      <c r="L235" s="24" t="n"/>
      <c r="M235" s="24" t="n"/>
      <c r="N235" s="21" t="n"/>
      <c r="O235" s="24" t="n"/>
      <c r="P235" s="19" t="n"/>
      <c r="Q235" s="20" t="n"/>
      <c r="R235" s="23" t="n"/>
      <c r="S235" s="23" t="n"/>
      <c r="T235" s="21" t="n"/>
      <c r="U235" s="21" t="n"/>
      <c r="V235" s="21" t="n"/>
      <c r="W235" s="21" t="n"/>
      <c r="X235" s="21" t="n"/>
      <c r="Y235" s="25">
        <f>IF($C235="","",IF(E235="XAUUSD",0.1,IF(ISNUMBER(SEARCH("JPY",E235)),0.01,0.0001)))</f>
        <v/>
      </c>
      <c r="Z235" s="18">
        <f>IF($C235="","",IF(F235="Sell",-1,1))</f>
        <v/>
      </c>
      <c r="AA235" s="18">
        <f>IF($C235="","",IF(E235="XAUUSD",100,100000))</f>
        <v/>
      </c>
      <c r="AB235" s="26">
        <f>IF(OR(K235="",L235=""),"",ABS(K235-L235)/Y235)</f>
        <v/>
      </c>
      <c r="AC235" s="26">
        <f>IF(OR(K235="",M235=""),"",ABS(M235-K235)/Y235)</f>
        <v/>
      </c>
      <c r="AD235" s="26">
        <f>IF(OR(K235="",O235=""),"",(O235-K235)*Z235/Y235)</f>
        <v/>
      </c>
      <c r="AE235" s="27">
        <f>IF(OR(AB235="",AB235=0,AC235=""),"",AC235/AB235)</f>
        <v/>
      </c>
      <c r="AF235" s="27">
        <f>IF(OR(AB235="",AB235=0,AD235=""),"",AD235/AB235)</f>
        <v/>
      </c>
      <c r="AG235" s="27">
        <f>IF(OR(C235="",P235=""),"",((P235+IF(Q235="",0,Q235))-(C235+IF(D235="",0,D235)))*24)</f>
        <v/>
      </c>
      <c r="AH235" s="18">
        <f>IF(AG235="","",INT(AG235/24)&amp;"d "&amp;INT(MOD(AG235,24))&amp;"h "&amp;INT(MOD(AG235*60,60))&amp;"m")</f>
        <v/>
      </c>
      <c r="AI235" s="28">
        <f>IF(OR(O235="",K235="",H235=""),"",IF(OR(E235="XAUUSD",RIGHT(E235,3)="USD"),(O235-K235)*Z235*AA235*H235,IF(LEFT(E235,3)="USD",IF(O235=0,"",(O235-K235)*Z235*AA235*H235/O235),AD235*10*H235)))</f>
        <v/>
      </c>
      <c r="AJ235" s="28">
        <f>IF(O235="","",IF(S235="",IF(AI235="",0,AI235),S235)-IF(R235="",0,R235))</f>
        <v/>
      </c>
      <c r="AK235" s="18">
        <f>IF(C235="","",IF(OR(O235="",P235=""),"Open",IF(ABS(AJ235)&lt;=BEThreshold,"BE",IF(AJ235&gt;0,"Win","Loss"))))</f>
        <v/>
      </c>
      <c r="AL235" s="28">
        <f>IF(OR(C235="",AK235="Open"),"",InitialCapital+SUMIFS($AJ$2:AJ235,$AK$2:AK235,"&lt;&gt;Open"))</f>
        <v/>
      </c>
      <c r="AM235" s="18">
        <f>IF(OR(C235="",AK235=""),"",IF(AK235="Open","No","Yes"))</f>
        <v/>
      </c>
    </row>
    <row r="236" ht="18" customHeight="1">
      <c r="A236" s="18">
        <f>IF(C236="","",COUNTA($C$2:C236))</f>
        <v/>
      </c>
      <c r="B236" s="18">
        <f>IF(C236="","",TEXT(C236,"dddd"))</f>
        <v/>
      </c>
      <c r="C236" s="19" t="n"/>
      <c r="D236" s="20" t="n"/>
      <c r="E236" s="21" t="n"/>
      <c r="F236" s="21" t="n"/>
      <c r="G236" s="21" t="n"/>
      <c r="H236" s="22" t="n"/>
      <c r="I236" s="23" t="n"/>
      <c r="J236" s="22" t="n"/>
      <c r="K236" s="24" t="n"/>
      <c r="L236" s="24" t="n"/>
      <c r="M236" s="24" t="n"/>
      <c r="N236" s="21" t="n"/>
      <c r="O236" s="24" t="n"/>
      <c r="P236" s="19" t="n"/>
      <c r="Q236" s="20" t="n"/>
      <c r="R236" s="23" t="n"/>
      <c r="S236" s="23" t="n"/>
      <c r="T236" s="21" t="n"/>
      <c r="U236" s="21" t="n"/>
      <c r="V236" s="21" t="n"/>
      <c r="W236" s="21" t="n"/>
      <c r="X236" s="21" t="n"/>
      <c r="Y236" s="25">
        <f>IF($C236="","",IF(E236="XAUUSD",0.1,IF(ISNUMBER(SEARCH("JPY",E236)),0.01,0.0001)))</f>
        <v/>
      </c>
      <c r="Z236" s="18">
        <f>IF($C236="","",IF(F236="Sell",-1,1))</f>
        <v/>
      </c>
      <c r="AA236" s="18">
        <f>IF($C236="","",IF(E236="XAUUSD",100,100000))</f>
        <v/>
      </c>
      <c r="AB236" s="26">
        <f>IF(OR(K236="",L236=""),"",ABS(K236-L236)/Y236)</f>
        <v/>
      </c>
      <c r="AC236" s="26">
        <f>IF(OR(K236="",M236=""),"",ABS(M236-K236)/Y236)</f>
        <v/>
      </c>
      <c r="AD236" s="26">
        <f>IF(OR(K236="",O236=""),"",(O236-K236)*Z236/Y236)</f>
        <v/>
      </c>
      <c r="AE236" s="27">
        <f>IF(OR(AB236="",AB236=0,AC236=""),"",AC236/AB236)</f>
        <v/>
      </c>
      <c r="AF236" s="27">
        <f>IF(OR(AB236="",AB236=0,AD236=""),"",AD236/AB236)</f>
        <v/>
      </c>
      <c r="AG236" s="27">
        <f>IF(OR(C236="",P236=""),"",((P236+IF(Q236="",0,Q236))-(C236+IF(D236="",0,D236)))*24)</f>
        <v/>
      </c>
      <c r="AH236" s="18">
        <f>IF(AG236="","",INT(AG236/24)&amp;"d "&amp;INT(MOD(AG236,24))&amp;"h "&amp;INT(MOD(AG236*60,60))&amp;"m")</f>
        <v/>
      </c>
      <c r="AI236" s="28">
        <f>IF(OR(O236="",K236="",H236=""),"",IF(OR(E236="XAUUSD",RIGHT(E236,3)="USD"),(O236-K236)*Z236*AA236*H236,IF(LEFT(E236,3)="USD",IF(O236=0,"",(O236-K236)*Z236*AA236*H236/O236),AD236*10*H236)))</f>
        <v/>
      </c>
      <c r="AJ236" s="28">
        <f>IF(O236="","",IF(S236="",IF(AI236="",0,AI236),S236)-IF(R236="",0,R236))</f>
        <v/>
      </c>
      <c r="AK236" s="18">
        <f>IF(C236="","",IF(OR(O236="",P236=""),"Open",IF(ABS(AJ236)&lt;=BEThreshold,"BE",IF(AJ236&gt;0,"Win","Loss"))))</f>
        <v/>
      </c>
      <c r="AL236" s="28">
        <f>IF(OR(C236="",AK236="Open"),"",InitialCapital+SUMIFS($AJ$2:AJ236,$AK$2:AK236,"&lt;&gt;Open"))</f>
        <v/>
      </c>
      <c r="AM236" s="18">
        <f>IF(OR(C236="",AK236=""),"",IF(AK236="Open","No","Yes"))</f>
        <v/>
      </c>
    </row>
    <row r="237" ht="18" customHeight="1">
      <c r="A237" s="18">
        <f>IF(C237="","",COUNTA($C$2:C237))</f>
        <v/>
      </c>
      <c r="B237" s="18">
        <f>IF(C237="","",TEXT(C237,"dddd"))</f>
        <v/>
      </c>
      <c r="C237" s="19" t="n"/>
      <c r="D237" s="20" t="n"/>
      <c r="E237" s="21" t="n"/>
      <c r="F237" s="21" t="n"/>
      <c r="G237" s="21" t="n"/>
      <c r="H237" s="22" t="n"/>
      <c r="I237" s="23" t="n"/>
      <c r="J237" s="22" t="n"/>
      <c r="K237" s="24" t="n"/>
      <c r="L237" s="24" t="n"/>
      <c r="M237" s="24" t="n"/>
      <c r="N237" s="21" t="n"/>
      <c r="O237" s="24" t="n"/>
      <c r="P237" s="19" t="n"/>
      <c r="Q237" s="20" t="n"/>
      <c r="R237" s="23" t="n"/>
      <c r="S237" s="23" t="n"/>
      <c r="T237" s="21" t="n"/>
      <c r="U237" s="21" t="n"/>
      <c r="V237" s="21" t="n"/>
      <c r="W237" s="21" t="n"/>
      <c r="X237" s="21" t="n"/>
      <c r="Y237" s="25">
        <f>IF($C237="","",IF(E237="XAUUSD",0.1,IF(ISNUMBER(SEARCH("JPY",E237)),0.01,0.0001)))</f>
        <v/>
      </c>
      <c r="Z237" s="18">
        <f>IF($C237="","",IF(F237="Sell",-1,1))</f>
        <v/>
      </c>
      <c r="AA237" s="18">
        <f>IF($C237="","",IF(E237="XAUUSD",100,100000))</f>
        <v/>
      </c>
      <c r="AB237" s="26">
        <f>IF(OR(K237="",L237=""),"",ABS(K237-L237)/Y237)</f>
        <v/>
      </c>
      <c r="AC237" s="26">
        <f>IF(OR(K237="",M237=""),"",ABS(M237-K237)/Y237)</f>
        <v/>
      </c>
      <c r="AD237" s="26">
        <f>IF(OR(K237="",O237=""),"",(O237-K237)*Z237/Y237)</f>
        <v/>
      </c>
      <c r="AE237" s="27">
        <f>IF(OR(AB237="",AB237=0,AC237=""),"",AC237/AB237)</f>
        <v/>
      </c>
      <c r="AF237" s="27">
        <f>IF(OR(AB237="",AB237=0,AD237=""),"",AD237/AB237)</f>
        <v/>
      </c>
      <c r="AG237" s="27">
        <f>IF(OR(C237="",P237=""),"",((P237+IF(Q237="",0,Q237))-(C237+IF(D237="",0,D237)))*24)</f>
        <v/>
      </c>
      <c r="AH237" s="18">
        <f>IF(AG237="","",INT(AG237/24)&amp;"d "&amp;INT(MOD(AG237,24))&amp;"h "&amp;INT(MOD(AG237*60,60))&amp;"m")</f>
        <v/>
      </c>
      <c r="AI237" s="28">
        <f>IF(OR(O237="",K237="",H237=""),"",IF(OR(E237="XAUUSD",RIGHT(E237,3)="USD"),(O237-K237)*Z237*AA237*H237,IF(LEFT(E237,3)="USD",IF(O237=0,"",(O237-K237)*Z237*AA237*H237/O237),AD237*10*H237)))</f>
        <v/>
      </c>
      <c r="AJ237" s="28">
        <f>IF(O237="","",IF(S237="",IF(AI237="",0,AI237),S237)-IF(R237="",0,R237))</f>
        <v/>
      </c>
      <c r="AK237" s="18">
        <f>IF(C237="","",IF(OR(O237="",P237=""),"Open",IF(ABS(AJ237)&lt;=BEThreshold,"BE",IF(AJ237&gt;0,"Win","Loss"))))</f>
        <v/>
      </c>
      <c r="AL237" s="28">
        <f>IF(OR(C237="",AK237="Open"),"",InitialCapital+SUMIFS($AJ$2:AJ237,$AK$2:AK237,"&lt;&gt;Open"))</f>
        <v/>
      </c>
      <c r="AM237" s="18">
        <f>IF(OR(C237="",AK237=""),"",IF(AK237="Open","No","Yes"))</f>
        <v/>
      </c>
    </row>
    <row r="238" ht="18" customHeight="1">
      <c r="A238" s="18">
        <f>IF(C238="","",COUNTA($C$2:C238))</f>
        <v/>
      </c>
      <c r="B238" s="18">
        <f>IF(C238="","",TEXT(C238,"dddd"))</f>
        <v/>
      </c>
      <c r="C238" s="19" t="n"/>
      <c r="D238" s="20" t="n"/>
      <c r="E238" s="21" t="n"/>
      <c r="F238" s="21" t="n"/>
      <c r="G238" s="21" t="n"/>
      <c r="H238" s="22" t="n"/>
      <c r="I238" s="23" t="n"/>
      <c r="J238" s="22" t="n"/>
      <c r="K238" s="24" t="n"/>
      <c r="L238" s="24" t="n"/>
      <c r="M238" s="24" t="n"/>
      <c r="N238" s="21" t="n"/>
      <c r="O238" s="24" t="n"/>
      <c r="P238" s="19" t="n"/>
      <c r="Q238" s="20" t="n"/>
      <c r="R238" s="23" t="n"/>
      <c r="S238" s="23" t="n"/>
      <c r="T238" s="21" t="n"/>
      <c r="U238" s="21" t="n"/>
      <c r="V238" s="21" t="n"/>
      <c r="W238" s="21" t="n"/>
      <c r="X238" s="21" t="n"/>
      <c r="Y238" s="25">
        <f>IF($C238="","",IF(E238="XAUUSD",0.1,IF(ISNUMBER(SEARCH("JPY",E238)),0.01,0.0001)))</f>
        <v/>
      </c>
      <c r="Z238" s="18">
        <f>IF($C238="","",IF(F238="Sell",-1,1))</f>
        <v/>
      </c>
      <c r="AA238" s="18">
        <f>IF($C238="","",IF(E238="XAUUSD",100,100000))</f>
        <v/>
      </c>
      <c r="AB238" s="26">
        <f>IF(OR(K238="",L238=""),"",ABS(K238-L238)/Y238)</f>
        <v/>
      </c>
      <c r="AC238" s="26">
        <f>IF(OR(K238="",M238=""),"",ABS(M238-K238)/Y238)</f>
        <v/>
      </c>
      <c r="AD238" s="26">
        <f>IF(OR(K238="",O238=""),"",(O238-K238)*Z238/Y238)</f>
        <v/>
      </c>
      <c r="AE238" s="27">
        <f>IF(OR(AB238="",AB238=0,AC238=""),"",AC238/AB238)</f>
        <v/>
      </c>
      <c r="AF238" s="27">
        <f>IF(OR(AB238="",AB238=0,AD238=""),"",AD238/AB238)</f>
        <v/>
      </c>
      <c r="AG238" s="27">
        <f>IF(OR(C238="",P238=""),"",((P238+IF(Q238="",0,Q238))-(C238+IF(D238="",0,D238)))*24)</f>
        <v/>
      </c>
      <c r="AH238" s="18">
        <f>IF(AG238="","",INT(AG238/24)&amp;"d "&amp;INT(MOD(AG238,24))&amp;"h "&amp;INT(MOD(AG238*60,60))&amp;"m")</f>
        <v/>
      </c>
      <c r="AI238" s="28">
        <f>IF(OR(O238="",K238="",H238=""),"",IF(OR(E238="XAUUSD",RIGHT(E238,3)="USD"),(O238-K238)*Z238*AA238*H238,IF(LEFT(E238,3)="USD",IF(O238=0,"",(O238-K238)*Z238*AA238*H238/O238),AD238*10*H238)))</f>
        <v/>
      </c>
      <c r="AJ238" s="28">
        <f>IF(O238="","",IF(S238="",IF(AI238="",0,AI238),S238)-IF(R238="",0,R238))</f>
        <v/>
      </c>
      <c r="AK238" s="18">
        <f>IF(C238="","",IF(OR(O238="",P238=""),"Open",IF(ABS(AJ238)&lt;=BEThreshold,"BE",IF(AJ238&gt;0,"Win","Loss"))))</f>
        <v/>
      </c>
      <c r="AL238" s="28">
        <f>IF(OR(C238="",AK238="Open"),"",InitialCapital+SUMIFS($AJ$2:AJ238,$AK$2:AK238,"&lt;&gt;Open"))</f>
        <v/>
      </c>
      <c r="AM238" s="18">
        <f>IF(OR(C238="",AK238=""),"",IF(AK238="Open","No","Yes"))</f>
        <v/>
      </c>
    </row>
    <row r="239" ht="18" customHeight="1">
      <c r="A239" s="18">
        <f>IF(C239="","",COUNTA($C$2:C239))</f>
        <v/>
      </c>
      <c r="B239" s="18">
        <f>IF(C239="","",TEXT(C239,"dddd"))</f>
        <v/>
      </c>
      <c r="C239" s="19" t="n"/>
      <c r="D239" s="20" t="n"/>
      <c r="E239" s="21" t="n"/>
      <c r="F239" s="21" t="n"/>
      <c r="G239" s="21" t="n"/>
      <c r="H239" s="22" t="n"/>
      <c r="I239" s="23" t="n"/>
      <c r="J239" s="22" t="n"/>
      <c r="K239" s="24" t="n"/>
      <c r="L239" s="24" t="n"/>
      <c r="M239" s="24" t="n"/>
      <c r="N239" s="21" t="n"/>
      <c r="O239" s="24" t="n"/>
      <c r="P239" s="19" t="n"/>
      <c r="Q239" s="20" t="n"/>
      <c r="R239" s="23" t="n"/>
      <c r="S239" s="23" t="n"/>
      <c r="T239" s="21" t="n"/>
      <c r="U239" s="21" t="n"/>
      <c r="V239" s="21" t="n"/>
      <c r="W239" s="21" t="n"/>
      <c r="X239" s="21" t="n"/>
      <c r="Y239" s="25">
        <f>IF($C239="","",IF(E239="XAUUSD",0.1,IF(ISNUMBER(SEARCH("JPY",E239)),0.01,0.0001)))</f>
        <v/>
      </c>
      <c r="Z239" s="18">
        <f>IF($C239="","",IF(F239="Sell",-1,1))</f>
        <v/>
      </c>
      <c r="AA239" s="18">
        <f>IF($C239="","",IF(E239="XAUUSD",100,100000))</f>
        <v/>
      </c>
      <c r="AB239" s="26">
        <f>IF(OR(K239="",L239=""),"",ABS(K239-L239)/Y239)</f>
        <v/>
      </c>
      <c r="AC239" s="26">
        <f>IF(OR(K239="",M239=""),"",ABS(M239-K239)/Y239)</f>
        <v/>
      </c>
      <c r="AD239" s="26">
        <f>IF(OR(K239="",O239=""),"",(O239-K239)*Z239/Y239)</f>
        <v/>
      </c>
      <c r="AE239" s="27">
        <f>IF(OR(AB239="",AB239=0,AC239=""),"",AC239/AB239)</f>
        <v/>
      </c>
      <c r="AF239" s="27">
        <f>IF(OR(AB239="",AB239=0,AD239=""),"",AD239/AB239)</f>
        <v/>
      </c>
      <c r="AG239" s="27">
        <f>IF(OR(C239="",P239=""),"",((P239+IF(Q239="",0,Q239))-(C239+IF(D239="",0,D239)))*24)</f>
        <v/>
      </c>
      <c r="AH239" s="18">
        <f>IF(AG239="","",INT(AG239/24)&amp;"d "&amp;INT(MOD(AG239,24))&amp;"h "&amp;INT(MOD(AG239*60,60))&amp;"m")</f>
        <v/>
      </c>
      <c r="AI239" s="28">
        <f>IF(OR(O239="",K239="",H239=""),"",IF(OR(E239="XAUUSD",RIGHT(E239,3)="USD"),(O239-K239)*Z239*AA239*H239,IF(LEFT(E239,3)="USD",IF(O239=0,"",(O239-K239)*Z239*AA239*H239/O239),AD239*10*H239)))</f>
        <v/>
      </c>
      <c r="AJ239" s="28">
        <f>IF(O239="","",IF(S239="",IF(AI239="",0,AI239),S239)-IF(R239="",0,R239))</f>
        <v/>
      </c>
      <c r="AK239" s="18">
        <f>IF(C239="","",IF(OR(O239="",P239=""),"Open",IF(ABS(AJ239)&lt;=BEThreshold,"BE",IF(AJ239&gt;0,"Win","Loss"))))</f>
        <v/>
      </c>
      <c r="AL239" s="28">
        <f>IF(OR(C239="",AK239="Open"),"",InitialCapital+SUMIFS($AJ$2:AJ239,$AK$2:AK239,"&lt;&gt;Open"))</f>
        <v/>
      </c>
      <c r="AM239" s="18">
        <f>IF(OR(C239="",AK239=""),"",IF(AK239="Open","No","Yes"))</f>
        <v/>
      </c>
    </row>
    <row r="240" ht="18" customHeight="1">
      <c r="A240" s="18">
        <f>IF(C240="","",COUNTA($C$2:C240))</f>
        <v/>
      </c>
      <c r="B240" s="18">
        <f>IF(C240="","",TEXT(C240,"dddd"))</f>
        <v/>
      </c>
      <c r="C240" s="19" t="n"/>
      <c r="D240" s="20" t="n"/>
      <c r="E240" s="21" t="n"/>
      <c r="F240" s="21" t="n"/>
      <c r="G240" s="21" t="n"/>
      <c r="H240" s="22" t="n"/>
      <c r="I240" s="23" t="n"/>
      <c r="J240" s="22" t="n"/>
      <c r="K240" s="24" t="n"/>
      <c r="L240" s="24" t="n"/>
      <c r="M240" s="24" t="n"/>
      <c r="N240" s="21" t="n"/>
      <c r="O240" s="24" t="n"/>
      <c r="P240" s="19" t="n"/>
      <c r="Q240" s="20" t="n"/>
      <c r="R240" s="23" t="n"/>
      <c r="S240" s="23" t="n"/>
      <c r="T240" s="21" t="n"/>
      <c r="U240" s="21" t="n"/>
      <c r="V240" s="21" t="n"/>
      <c r="W240" s="21" t="n"/>
      <c r="X240" s="21" t="n"/>
      <c r="Y240" s="25">
        <f>IF($C240="","",IF(E240="XAUUSD",0.1,IF(ISNUMBER(SEARCH("JPY",E240)),0.01,0.0001)))</f>
        <v/>
      </c>
      <c r="Z240" s="18">
        <f>IF($C240="","",IF(F240="Sell",-1,1))</f>
        <v/>
      </c>
      <c r="AA240" s="18">
        <f>IF($C240="","",IF(E240="XAUUSD",100,100000))</f>
        <v/>
      </c>
      <c r="AB240" s="26">
        <f>IF(OR(K240="",L240=""),"",ABS(K240-L240)/Y240)</f>
        <v/>
      </c>
      <c r="AC240" s="26">
        <f>IF(OR(K240="",M240=""),"",ABS(M240-K240)/Y240)</f>
        <v/>
      </c>
      <c r="AD240" s="26">
        <f>IF(OR(K240="",O240=""),"",(O240-K240)*Z240/Y240)</f>
        <v/>
      </c>
      <c r="AE240" s="27">
        <f>IF(OR(AB240="",AB240=0,AC240=""),"",AC240/AB240)</f>
        <v/>
      </c>
      <c r="AF240" s="27">
        <f>IF(OR(AB240="",AB240=0,AD240=""),"",AD240/AB240)</f>
        <v/>
      </c>
      <c r="AG240" s="27">
        <f>IF(OR(C240="",P240=""),"",((P240+IF(Q240="",0,Q240))-(C240+IF(D240="",0,D240)))*24)</f>
        <v/>
      </c>
      <c r="AH240" s="18">
        <f>IF(AG240="","",INT(AG240/24)&amp;"d "&amp;INT(MOD(AG240,24))&amp;"h "&amp;INT(MOD(AG240*60,60))&amp;"m")</f>
        <v/>
      </c>
      <c r="AI240" s="28">
        <f>IF(OR(O240="",K240="",H240=""),"",IF(OR(E240="XAUUSD",RIGHT(E240,3)="USD"),(O240-K240)*Z240*AA240*H240,IF(LEFT(E240,3)="USD",IF(O240=0,"",(O240-K240)*Z240*AA240*H240/O240),AD240*10*H240)))</f>
        <v/>
      </c>
      <c r="AJ240" s="28">
        <f>IF(O240="","",IF(S240="",IF(AI240="",0,AI240),S240)-IF(R240="",0,R240))</f>
        <v/>
      </c>
      <c r="AK240" s="18">
        <f>IF(C240="","",IF(OR(O240="",P240=""),"Open",IF(ABS(AJ240)&lt;=BEThreshold,"BE",IF(AJ240&gt;0,"Win","Loss"))))</f>
        <v/>
      </c>
      <c r="AL240" s="28">
        <f>IF(OR(C240="",AK240="Open"),"",InitialCapital+SUMIFS($AJ$2:AJ240,$AK$2:AK240,"&lt;&gt;Open"))</f>
        <v/>
      </c>
      <c r="AM240" s="18">
        <f>IF(OR(C240="",AK240=""),"",IF(AK240="Open","No","Yes"))</f>
        <v/>
      </c>
    </row>
    <row r="241" ht="18" customHeight="1">
      <c r="A241" s="18">
        <f>IF(C241="","",COUNTA($C$2:C241))</f>
        <v/>
      </c>
      <c r="B241" s="18">
        <f>IF(C241="","",TEXT(C241,"dddd"))</f>
        <v/>
      </c>
      <c r="C241" s="19" t="n"/>
      <c r="D241" s="20" t="n"/>
      <c r="E241" s="21" t="n"/>
      <c r="F241" s="21" t="n"/>
      <c r="G241" s="21" t="n"/>
      <c r="H241" s="22" t="n"/>
      <c r="I241" s="23" t="n"/>
      <c r="J241" s="22" t="n"/>
      <c r="K241" s="24" t="n"/>
      <c r="L241" s="24" t="n"/>
      <c r="M241" s="24" t="n"/>
      <c r="N241" s="21" t="n"/>
      <c r="O241" s="24" t="n"/>
      <c r="P241" s="19" t="n"/>
      <c r="Q241" s="20" t="n"/>
      <c r="R241" s="23" t="n"/>
      <c r="S241" s="23" t="n"/>
      <c r="T241" s="21" t="n"/>
      <c r="U241" s="21" t="n"/>
      <c r="V241" s="21" t="n"/>
      <c r="W241" s="21" t="n"/>
      <c r="X241" s="21" t="n"/>
      <c r="Y241" s="25">
        <f>IF($C241="","",IF(E241="XAUUSD",0.1,IF(ISNUMBER(SEARCH("JPY",E241)),0.01,0.0001)))</f>
        <v/>
      </c>
      <c r="Z241" s="18">
        <f>IF($C241="","",IF(F241="Sell",-1,1))</f>
        <v/>
      </c>
      <c r="AA241" s="18">
        <f>IF($C241="","",IF(E241="XAUUSD",100,100000))</f>
        <v/>
      </c>
      <c r="AB241" s="26">
        <f>IF(OR(K241="",L241=""),"",ABS(K241-L241)/Y241)</f>
        <v/>
      </c>
      <c r="AC241" s="26">
        <f>IF(OR(K241="",M241=""),"",ABS(M241-K241)/Y241)</f>
        <v/>
      </c>
      <c r="AD241" s="26">
        <f>IF(OR(K241="",O241=""),"",(O241-K241)*Z241/Y241)</f>
        <v/>
      </c>
      <c r="AE241" s="27">
        <f>IF(OR(AB241="",AB241=0,AC241=""),"",AC241/AB241)</f>
        <v/>
      </c>
      <c r="AF241" s="27">
        <f>IF(OR(AB241="",AB241=0,AD241=""),"",AD241/AB241)</f>
        <v/>
      </c>
      <c r="AG241" s="27">
        <f>IF(OR(C241="",P241=""),"",((P241+IF(Q241="",0,Q241))-(C241+IF(D241="",0,D241)))*24)</f>
        <v/>
      </c>
      <c r="AH241" s="18">
        <f>IF(AG241="","",INT(AG241/24)&amp;"d "&amp;INT(MOD(AG241,24))&amp;"h "&amp;INT(MOD(AG241*60,60))&amp;"m")</f>
        <v/>
      </c>
      <c r="AI241" s="28">
        <f>IF(OR(O241="",K241="",H241=""),"",IF(OR(E241="XAUUSD",RIGHT(E241,3)="USD"),(O241-K241)*Z241*AA241*H241,IF(LEFT(E241,3)="USD",IF(O241=0,"",(O241-K241)*Z241*AA241*H241/O241),AD241*10*H241)))</f>
        <v/>
      </c>
      <c r="AJ241" s="28">
        <f>IF(O241="","",IF(S241="",IF(AI241="",0,AI241),S241)-IF(R241="",0,R241))</f>
        <v/>
      </c>
      <c r="AK241" s="18">
        <f>IF(C241="","",IF(OR(O241="",P241=""),"Open",IF(ABS(AJ241)&lt;=BEThreshold,"BE",IF(AJ241&gt;0,"Win","Loss"))))</f>
        <v/>
      </c>
      <c r="AL241" s="28">
        <f>IF(OR(C241="",AK241="Open"),"",InitialCapital+SUMIFS($AJ$2:AJ241,$AK$2:AK241,"&lt;&gt;Open"))</f>
        <v/>
      </c>
      <c r="AM241" s="18">
        <f>IF(OR(C241="",AK241=""),"",IF(AK241="Open","No","Yes"))</f>
        <v/>
      </c>
    </row>
    <row r="242" ht="18" customHeight="1">
      <c r="A242" s="18">
        <f>IF(C242="","",COUNTA($C$2:C242))</f>
        <v/>
      </c>
      <c r="B242" s="18">
        <f>IF(C242="","",TEXT(C242,"dddd"))</f>
        <v/>
      </c>
      <c r="C242" s="19" t="n"/>
      <c r="D242" s="20" t="n"/>
      <c r="E242" s="21" t="n"/>
      <c r="F242" s="21" t="n"/>
      <c r="G242" s="21" t="n"/>
      <c r="H242" s="22" t="n"/>
      <c r="I242" s="23" t="n"/>
      <c r="J242" s="22" t="n"/>
      <c r="K242" s="24" t="n"/>
      <c r="L242" s="24" t="n"/>
      <c r="M242" s="24" t="n"/>
      <c r="N242" s="21" t="n"/>
      <c r="O242" s="24" t="n"/>
      <c r="P242" s="19" t="n"/>
      <c r="Q242" s="20" t="n"/>
      <c r="R242" s="23" t="n"/>
      <c r="S242" s="23" t="n"/>
      <c r="T242" s="21" t="n"/>
      <c r="U242" s="21" t="n"/>
      <c r="V242" s="21" t="n"/>
      <c r="W242" s="21" t="n"/>
      <c r="X242" s="21" t="n"/>
      <c r="Y242" s="25">
        <f>IF($C242="","",IF(E242="XAUUSD",0.1,IF(ISNUMBER(SEARCH("JPY",E242)),0.01,0.0001)))</f>
        <v/>
      </c>
      <c r="Z242" s="18">
        <f>IF($C242="","",IF(F242="Sell",-1,1))</f>
        <v/>
      </c>
      <c r="AA242" s="18">
        <f>IF($C242="","",IF(E242="XAUUSD",100,100000))</f>
        <v/>
      </c>
      <c r="AB242" s="26">
        <f>IF(OR(K242="",L242=""),"",ABS(K242-L242)/Y242)</f>
        <v/>
      </c>
      <c r="AC242" s="26">
        <f>IF(OR(K242="",M242=""),"",ABS(M242-K242)/Y242)</f>
        <v/>
      </c>
      <c r="AD242" s="26">
        <f>IF(OR(K242="",O242=""),"",(O242-K242)*Z242/Y242)</f>
        <v/>
      </c>
      <c r="AE242" s="27">
        <f>IF(OR(AB242="",AB242=0,AC242=""),"",AC242/AB242)</f>
        <v/>
      </c>
      <c r="AF242" s="27">
        <f>IF(OR(AB242="",AB242=0,AD242=""),"",AD242/AB242)</f>
        <v/>
      </c>
      <c r="AG242" s="27">
        <f>IF(OR(C242="",P242=""),"",((P242+IF(Q242="",0,Q242))-(C242+IF(D242="",0,D242)))*24)</f>
        <v/>
      </c>
      <c r="AH242" s="18">
        <f>IF(AG242="","",INT(AG242/24)&amp;"d "&amp;INT(MOD(AG242,24))&amp;"h "&amp;INT(MOD(AG242*60,60))&amp;"m")</f>
        <v/>
      </c>
      <c r="AI242" s="28">
        <f>IF(OR(O242="",K242="",H242=""),"",IF(OR(E242="XAUUSD",RIGHT(E242,3)="USD"),(O242-K242)*Z242*AA242*H242,IF(LEFT(E242,3)="USD",IF(O242=0,"",(O242-K242)*Z242*AA242*H242/O242),AD242*10*H242)))</f>
        <v/>
      </c>
      <c r="AJ242" s="28">
        <f>IF(O242="","",IF(S242="",IF(AI242="",0,AI242),S242)-IF(R242="",0,R242))</f>
        <v/>
      </c>
      <c r="AK242" s="18">
        <f>IF(C242="","",IF(OR(O242="",P242=""),"Open",IF(ABS(AJ242)&lt;=BEThreshold,"BE",IF(AJ242&gt;0,"Win","Loss"))))</f>
        <v/>
      </c>
      <c r="AL242" s="28">
        <f>IF(OR(C242="",AK242="Open"),"",InitialCapital+SUMIFS($AJ$2:AJ242,$AK$2:AK242,"&lt;&gt;Open"))</f>
        <v/>
      </c>
      <c r="AM242" s="18">
        <f>IF(OR(C242="",AK242=""),"",IF(AK242="Open","No","Yes"))</f>
        <v/>
      </c>
    </row>
    <row r="243" ht="18" customHeight="1">
      <c r="A243" s="18">
        <f>IF(C243="","",COUNTA($C$2:C243))</f>
        <v/>
      </c>
      <c r="B243" s="18">
        <f>IF(C243="","",TEXT(C243,"dddd"))</f>
        <v/>
      </c>
      <c r="C243" s="19" t="n"/>
      <c r="D243" s="20" t="n"/>
      <c r="E243" s="21" t="n"/>
      <c r="F243" s="21" t="n"/>
      <c r="G243" s="21" t="n"/>
      <c r="H243" s="22" t="n"/>
      <c r="I243" s="23" t="n"/>
      <c r="J243" s="22" t="n"/>
      <c r="K243" s="24" t="n"/>
      <c r="L243" s="24" t="n"/>
      <c r="M243" s="24" t="n"/>
      <c r="N243" s="21" t="n"/>
      <c r="O243" s="24" t="n"/>
      <c r="P243" s="19" t="n"/>
      <c r="Q243" s="20" t="n"/>
      <c r="R243" s="23" t="n"/>
      <c r="S243" s="23" t="n"/>
      <c r="T243" s="21" t="n"/>
      <c r="U243" s="21" t="n"/>
      <c r="V243" s="21" t="n"/>
      <c r="W243" s="21" t="n"/>
      <c r="X243" s="21" t="n"/>
      <c r="Y243" s="25">
        <f>IF($C243="","",IF(E243="XAUUSD",0.1,IF(ISNUMBER(SEARCH("JPY",E243)),0.01,0.0001)))</f>
        <v/>
      </c>
      <c r="Z243" s="18">
        <f>IF($C243="","",IF(F243="Sell",-1,1))</f>
        <v/>
      </c>
      <c r="AA243" s="18">
        <f>IF($C243="","",IF(E243="XAUUSD",100,100000))</f>
        <v/>
      </c>
      <c r="AB243" s="26">
        <f>IF(OR(K243="",L243=""),"",ABS(K243-L243)/Y243)</f>
        <v/>
      </c>
      <c r="AC243" s="26">
        <f>IF(OR(K243="",M243=""),"",ABS(M243-K243)/Y243)</f>
        <v/>
      </c>
      <c r="AD243" s="26">
        <f>IF(OR(K243="",O243=""),"",(O243-K243)*Z243/Y243)</f>
        <v/>
      </c>
      <c r="AE243" s="27">
        <f>IF(OR(AB243="",AB243=0,AC243=""),"",AC243/AB243)</f>
        <v/>
      </c>
      <c r="AF243" s="27">
        <f>IF(OR(AB243="",AB243=0,AD243=""),"",AD243/AB243)</f>
        <v/>
      </c>
      <c r="AG243" s="27">
        <f>IF(OR(C243="",P243=""),"",((P243+IF(Q243="",0,Q243))-(C243+IF(D243="",0,D243)))*24)</f>
        <v/>
      </c>
      <c r="AH243" s="18">
        <f>IF(AG243="","",INT(AG243/24)&amp;"d "&amp;INT(MOD(AG243,24))&amp;"h "&amp;INT(MOD(AG243*60,60))&amp;"m")</f>
        <v/>
      </c>
      <c r="AI243" s="28">
        <f>IF(OR(O243="",K243="",H243=""),"",IF(OR(E243="XAUUSD",RIGHT(E243,3)="USD"),(O243-K243)*Z243*AA243*H243,IF(LEFT(E243,3)="USD",IF(O243=0,"",(O243-K243)*Z243*AA243*H243/O243),AD243*10*H243)))</f>
        <v/>
      </c>
      <c r="AJ243" s="28">
        <f>IF(O243="","",IF(S243="",IF(AI243="",0,AI243),S243)-IF(R243="",0,R243))</f>
        <v/>
      </c>
      <c r="AK243" s="18">
        <f>IF(C243="","",IF(OR(O243="",P243=""),"Open",IF(ABS(AJ243)&lt;=BEThreshold,"BE",IF(AJ243&gt;0,"Win","Loss"))))</f>
        <v/>
      </c>
      <c r="AL243" s="28">
        <f>IF(OR(C243="",AK243="Open"),"",InitialCapital+SUMIFS($AJ$2:AJ243,$AK$2:AK243,"&lt;&gt;Open"))</f>
        <v/>
      </c>
      <c r="AM243" s="18">
        <f>IF(OR(C243="",AK243=""),"",IF(AK243="Open","No","Yes"))</f>
        <v/>
      </c>
    </row>
    <row r="244" ht="18" customHeight="1">
      <c r="A244" s="18">
        <f>IF(C244="","",COUNTA($C$2:C244))</f>
        <v/>
      </c>
      <c r="B244" s="18">
        <f>IF(C244="","",TEXT(C244,"dddd"))</f>
        <v/>
      </c>
      <c r="C244" s="19" t="n"/>
      <c r="D244" s="20" t="n"/>
      <c r="E244" s="21" t="n"/>
      <c r="F244" s="21" t="n"/>
      <c r="G244" s="21" t="n"/>
      <c r="H244" s="22" t="n"/>
      <c r="I244" s="23" t="n"/>
      <c r="J244" s="22" t="n"/>
      <c r="K244" s="24" t="n"/>
      <c r="L244" s="24" t="n"/>
      <c r="M244" s="24" t="n"/>
      <c r="N244" s="21" t="n"/>
      <c r="O244" s="24" t="n"/>
      <c r="P244" s="19" t="n"/>
      <c r="Q244" s="20" t="n"/>
      <c r="R244" s="23" t="n"/>
      <c r="S244" s="23" t="n"/>
      <c r="T244" s="21" t="n"/>
      <c r="U244" s="21" t="n"/>
      <c r="V244" s="21" t="n"/>
      <c r="W244" s="21" t="n"/>
      <c r="X244" s="21" t="n"/>
      <c r="Y244" s="25">
        <f>IF($C244="","",IF(E244="XAUUSD",0.1,IF(ISNUMBER(SEARCH("JPY",E244)),0.01,0.0001)))</f>
        <v/>
      </c>
      <c r="Z244" s="18">
        <f>IF($C244="","",IF(F244="Sell",-1,1))</f>
        <v/>
      </c>
      <c r="AA244" s="18">
        <f>IF($C244="","",IF(E244="XAUUSD",100,100000))</f>
        <v/>
      </c>
      <c r="AB244" s="26">
        <f>IF(OR(K244="",L244=""),"",ABS(K244-L244)/Y244)</f>
        <v/>
      </c>
      <c r="AC244" s="26">
        <f>IF(OR(K244="",M244=""),"",ABS(M244-K244)/Y244)</f>
        <v/>
      </c>
      <c r="AD244" s="26">
        <f>IF(OR(K244="",O244=""),"",(O244-K244)*Z244/Y244)</f>
        <v/>
      </c>
      <c r="AE244" s="27">
        <f>IF(OR(AB244="",AB244=0,AC244=""),"",AC244/AB244)</f>
        <v/>
      </c>
      <c r="AF244" s="27">
        <f>IF(OR(AB244="",AB244=0,AD244=""),"",AD244/AB244)</f>
        <v/>
      </c>
      <c r="AG244" s="27">
        <f>IF(OR(C244="",P244=""),"",((P244+IF(Q244="",0,Q244))-(C244+IF(D244="",0,D244)))*24)</f>
        <v/>
      </c>
      <c r="AH244" s="18">
        <f>IF(AG244="","",INT(AG244/24)&amp;"d "&amp;INT(MOD(AG244,24))&amp;"h "&amp;INT(MOD(AG244*60,60))&amp;"m")</f>
        <v/>
      </c>
      <c r="AI244" s="28">
        <f>IF(OR(O244="",K244="",H244=""),"",IF(OR(E244="XAUUSD",RIGHT(E244,3)="USD"),(O244-K244)*Z244*AA244*H244,IF(LEFT(E244,3)="USD",IF(O244=0,"",(O244-K244)*Z244*AA244*H244/O244),AD244*10*H244)))</f>
        <v/>
      </c>
      <c r="AJ244" s="28">
        <f>IF(O244="","",IF(S244="",IF(AI244="",0,AI244),S244)-IF(R244="",0,R244))</f>
        <v/>
      </c>
      <c r="AK244" s="18">
        <f>IF(C244="","",IF(OR(O244="",P244=""),"Open",IF(ABS(AJ244)&lt;=BEThreshold,"BE",IF(AJ244&gt;0,"Win","Loss"))))</f>
        <v/>
      </c>
      <c r="AL244" s="28">
        <f>IF(OR(C244="",AK244="Open"),"",InitialCapital+SUMIFS($AJ$2:AJ244,$AK$2:AK244,"&lt;&gt;Open"))</f>
        <v/>
      </c>
      <c r="AM244" s="18">
        <f>IF(OR(C244="",AK244=""),"",IF(AK244="Open","No","Yes"))</f>
        <v/>
      </c>
    </row>
    <row r="245" ht="18" customHeight="1">
      <c r="A245" s="18">
        <f>IF(C245="","",COUNTA($C$2:C245))</f>
        <v/>
      </c>
      <c r="B245" s="18">
        <f>IF(C245="","",TEXT(C245,"dddd"))</f>
        <v/>
      </c>
      <c r="C245" s="19" t="n"/>
      <c r="D245" s="20" t="n"/>
      <c r="E245" s="21" t="n"/>
      <c r="F245" s="21" t="n"/>
      <c r="G245" s="21" t="n"/>
      <c r="H245" s="22" t="n"/>
      <c r="I245" s="23" t="n"/>
      <c r="J245" s="22" t="n"/>
      <c r="K245" s="24" t="n"/>
      <c r="L245" s="24" t="n"/>
      <c r="M245" s="24" t="n"/>
      <c r="N245" s="21" t="n"/>
      <c r="O245" s="24" t="n"/>
      <c r="P245" s="19" t="n"/>
      <c r="Q245" s="20" t="n"/>
      <c r="R245" s="23" t="n"/>
      <c r="S245" s="23" t="n"/>
      <c r="T245" s="21" t="n"/>
      <c r="U245" s="21" t="n"/>
      <c r="V245" s="21" t="n"/>
      <c r="W245" s="21" t="n"/>
      <c r="X245" s="21" t="n"/>
      <c r="Y245" s="25">
        <f>IF($C245="","",IF(E245="XAUUSD",0.1,IF(ISNUMBER(SEARCH("JPY",E245)),0.01,0.0001)))</f>
        <v/>
      </c>
      <c r="Z245" s="18">
        <f>IF($C245="","",IF(F245="Sell",-1,1))</f>
        <v/>
      </c>
      <c r="AA245" s="18">
        <f>IF($C245="","",IF(E245="XAUUSD",100,100000))</f>
        <v/>
      </c>
      <c r="AB245" s="26">
        <f>IF(OR(K245="",L245=""),"",ABS(K245-L245)/Y245)</f>
        <v/>
      </c>
      <c r="AC245" s="26">
        <f>IF(OR(K245="",M245=""),"",ABS(M245-K245)/Y245)</f>
        <v/>
      </c>
      <c r="AD245" s="26">
        <f>IF(OR(K245="",O245=""),"",(O245-K245)*Z245/Y245)</f>
        <v/>
      </c>
      <c r="AE245" s="27">
        <f>IF(OR(AB245="",AB245=0,AC245=""),"",AC245/AB245)</f>
        <v/>
      </c>
      <c r="AF245" s="27">
        <f>IF(OR(AB245="",AB245=0,AD245=""),"",AD245/AB245)</f>
        <v/>
      </c>
      <c r="AG245" s="27">
        <f>IF(OR(C245="",P245=""),"",((P245+IF(Q245="",0,Q245))-(C245+IF(D245="",0,D245)))*24)</f>
        <v/>
      </c>
      <c r="AH245" s="18">
        <f>IF(AG245="","",INT(AG245/24)&amp;"d "&amp;INT(MOD(AG245,24))&amp;"h "&amp;INT(MOD(AG245*60,60))&amp;"m")</f>
        <v/>
      </c>
      <c r="AI245" s="28">
        <f>IF(OR(O245="",K245="",H245=""),"",IF(OR(E245="XAUUSD",RIGHT(E245,3)="USD"),(O245-K245)*Z245*AA245*H245,IF(LEFT(E245,3)="USD",IF(O245=0,"",(O245-K245)*Z245*AA245*H245/O245),AD245*10*H245)))</f>
        <v/>
      </c>
      <c r="AJ245" s="28">
        <f>IF(O245="","",IF(S245="",IF(AI245="",0,AI245),S245)-IF(R245="",0,R245))</f>
        <v/>
      </c>
      <c r="AK245" s="18">
        <f>IF(C245="","",IF(OR(O245="",P245=""),"Open",IF(ABS(AJ245)&lt;=BEThreshold,"BE",IF(AJ245&gt;0,"Win","Loss"))))</f>
        <v/>
      </c>
      <c r="AL245" s="28">
        <f>IF(OR(C245="",AK245="Open"),"",InitialCapital+SUMIFS($AJ$2:AJ245,$AK$2:AK245,"&lt;&gt;Open"))</f>
        <v/>
      </c>
      <c r="AM245" s="18">
        <f>IF(OR(C245="",AK245=""),"",IF(AK245="Open","No","Yes"))</f>
        <v/>
      </c>
    </row>
    <row r="246" ht="18" customHeight="1">
      <c r="A246" s="18">
        <f>IF(C246="","",COUNTA($C$2:C246))</f>
        <v/>
      </c>
      <c r="B246" s="18">
        <f>IF(C246="","",TEXT(C246,"dddd"))</f>
        <v/>
      </c>
      <c r="C246" s="19" t="n"/>
      <c r="D246" s="20" t="n"/>
      <c r="E246" s="21" t="n"/>
      <c r="F246" s="21" t="n"/>
      <c r="G246" s="21" t="n"/>
      <c r="H246" s="22" t="n"/>
      <c r="I246" s="23" t="n"/>
      <c r="J246" s="22" t="n"/>
      <c r="K246" s="24" t="n"/>
      <c r="L246" s="24" t="n"/>
      <c r="M246" s="24" t="n"/>
      <c r="N246" s="21" t="n"/>
      <c r="O246" s="24" t="n"/>
      <c r="P246" s="19" t="n"/>
      <c r="Q246" s="20" t="n"/>
      <c r="R246" s="23" t="n"/>
      <c r="S246" s="23" t="n"/>
      <c r="T246" s="21" t="n"/>
      <c r="U246" s="21" t="n"/>
      <c r="V246" s="21" t="n"/>
      <c r="W246" s="21" t="n"/>
      <c r="X246" s="21" t="n"/>
      <c r="Y246" s="25">
        <f>IF($C246="","",IF(E246="XAUUSD",0.1,IF(ISNUMBER(SEARCH("JPY",E246)),0.01,0.0001)))</f>
        <v/>
      </c>
      <c r="Z246" s="18">
        <f>IF($C246="","",IF(F246="Sell",-1,1))</f>
        <v/>
      </c>
      <c r="AA246" s="18">
        <f>IF($C246="","",IF(E246="XAUUSD",100,100000))</f>
        <v/>
      </c>
      <c r="AB246" s="26">
        <f>IF(OR(K246="",L246=""),"",ABS(K246-L246)/Y246)</f>
        <v/>
      </c>
      <c r="AC246" s="26">
        <f>IF(OR(K246="",M246=""),"",ABS(M246-K246)/Y246)</f>
        <v/>
      </c>
      <c r="AD246" s="26">
        <f>IF(OR(K246="",O246=""),"",(O246-K246)*Z246/Y246)</f>
        <v/>
      </c>
      <c r="AE246" s="27">
        <f>IF(OR(AB246="",AB246=0,AC246=""),"",AC246/AB246)</f>
        <v/>
      </c>
      <c r="AF246" s="27">
        <f>IF(OR(AB246="",AB246=0,AD246=""),"",AD246/AB246)</f>
        <v/>
      </c>
      <c r="AG246" s="27">
        <f>IF(OR(C246="",P246=""),"",((P246+IF(Q246="",0,Q246))-(C246+IF(D246="",0,D246)))*24)</f>
        <v/>
      </c>
      <c r="AH246" s="18">
        <f>IF(AG246="","",INT(AG246/24)&amp;"d "&amp;INT(MOD(AG246,24))&amp;"h "&amp;INT(MOD(AG246*60,60))&amp;"m")</f>
        <v/>
      </c>
      <c r="AI246" s="28">
        <f>IF(OR(O246="",K246="",H246=""),"",IF(OR(E246="XAUUSD",RIGHT(E246,3)="USD"),(O246-K246)*Z246*AA246*H246,IF(LEFT(E246,3)="USD",IF(O246=0,"",(O246-K246)*Z246*AA246*H246/O246),AD246*10*H246)))</f>
        <v/>
      </c>
      <c r="AJ246" s="28">
        <f>IF(O246="","",IF(S246="",IF(AI246="",0,AI246),S246)-IF(R246="",0,R246))</f>
        <v/>
      </c>
      <c r="AK246" s="18">
        <f>IF(C246="","",IF(OR(O246="",P246=""),"Open",IF(ABS(AJ246)&lt;=BEThreshold,"BE",IF(AJ246&gt;0,"Win","Loss"))))</f>
        <v/>
      </c>
      <c r="AL246" s="28">
        <f>IF(OR(C246="",AK246="Open"),"",InitialCapital+SUMIFS($AJ$2:AJ246,$AK$2:AK246,"&lt;&gt;Open"))</f>
        <v/>
      </c>
      <c r="AM246" s="18">
        <f>IF(OR(C246="",AK246=""),"",IF(AK246="Open","No","Yes"))</f>
        <v/>
      </c>
    </row>
    <row r="247" ht="18" customHeight="1">
      <c r="A247" s="18">
        <f>IF(C247="","",COUNTA($C$2:C247))</f>
        <v/>
      </c>
      <c r="B247" s="18">
        <f>IF(C247="","",TEXT(C247,"dddd"))</f>
        <v/>
      </c>
      <c r="C247" s="19" t="n"/>
      <c r="D247" s="20" t="n"/>
      <c r="E247" s="21" t="n"/>
      <c r="F247" s="21" t="n"/>
      <c r="G247" s="21" t="n"/>
      <c r="H247" s="22" t="n"/>
      <c r="I247" s="23" t="n"/>
      <c r="J247" s="22" t="n"/>
      <c r="K247" s="24" t="n"/>
      <c r="L247" s="24" t="n"/>
      <c r="M247" s="24" t="n"/>
      <c r="N247" s="21" t="n"/>
      <c r="O247" s="24" t="n"/>
      <c r="P247" s="19" t="n"/>
      <c r="Q247" s="20" t="n"/>
      <c r="R247" s="23" t="n"/>
      <c r="S247" s="23" t="n"/>
      <c r="T247" s="21" t="n"/>
      <c r="U247" s="21" t="n"/>
      <c r="V247" s="21" t="n"/>
      <c r="W247" s="21" t="n"/>
      <c r="X247" s="21" t="n"/>
      <c r="Y247" s="25">
        <f>IF($C247="","",IF(E247="XAUUSD",0.1,IF(ISNUMBER(SEARCH("JPY",E247)),0.01,0.0001)))</f>
        <v/>
      </c>
      <c r="Z247" s="18">
        <f>IF($C247="","",IF(F247="Sell",-1,1))</f>
        <v/>
      </c>
      <c r="AA247" s="18">
        <f>IF($C247="","",IF(E247="XAUUSD",100,100000))</f>
        <v/>
      </c>
      <c r="AB247" s="26">
        <f>IF(OR(K247="",L247=""),"",ABS(K247-L247)/Y247)</f>
        <v/>
      </c>
      <c r="AC247" s="26">
        <f>IF(OR(K247="",M247=""),"",ABS(M247-K247)/Y247)</f>
        <v/>
      </c>
      <c r="AD247" s="26">
        <f>IF(OR(K247="",O247=""),"",(O247-K247)*Z247/Y247)</f>
        <v/>
      </c>
      <c r="AE247" s="27">
        <f>IF(OR(AB247="",AB247=0,AC247=""),"",AC247/AB247)</f>
        <v/>
      </c>
      <c r="AF247" s="27">
        <f>IF(OR(AB247="",AB247=0,AD247=""),"",AD247/AB247)</f>
        <v/>
      </c>
      <c r="AG247" s="27">
        <f>IF(OR(C247="",P247=""),"",((P247+IF(Q247="",0,Q247))-(C247+IF(D247="",0,D247)))*24)</f>
        <v/>
      </c>
      <c r="AH247" s="18">
        <f>IF(AG247="","",INT(AG247/24)&amp;"d "&amp;INT(MOD(AG247,24))&amp;"h "&amp;INT(MOD(AG247*60,60))&amp;"m")</f>
        <v/>
      </c>
      <c r="AI247" s="28">
        <f>IF(OR(O247="",K247="",H247=""),"",IF(OR(E247="XAUUSD",RIGHT(E247,3)="USD"),(O247-K247)*Z247*AA247*H247,IF(LEFT(E247,3)="USD",IF(O247=0,"",(O247-K247)*Z247*AA247*H247/O247),AD247*10*H247)))</f>
        <v/>
      </c>
      <c r="AJ247" s="28">
        <f>IF(O247="","",IF(S247="",IF(AI247="",0,AI247),S247)-IF(R247="",0,R247))</f>
        <v/>
      </c>
      <c r="AK247" s="18">
        <f>IF(C247="","",IF(OR(O247="",P247=""),"Open",IF(ABS(AJ247)&lt;=BEThreshold,"BE",IF(AJ247&gt;0,"Win","Loss"))))</f>
        <v/>
      </c>
      <c r="AL247" s="28">
        <f>IF(OR(C247="",AK247="Open"),"",InitialCapital+SUMIFS($AJ$2:AJ247,$AK$2:AK247,"&lt;&gt;Open"))</f>
        <v/>
      </c>
      <c r="AM247" s="18">
        <f>IF(OR(C247="",AK247=""),"",IF(AK247="Open","No","Yes"))</f>
        <v/>
      </c>
    </row>
    <row r="248" ht="18" customHeight="1">
      <c r="A248" s="18">
        <f>IF(C248="","",COUNTA($C$2:C248))</f>
        <v/>
      </c>
      <c r="B248" s="18">
        <f>IF(C248="","",TEXT(C248,"dddd"))</f>
        <v/>
      </c>
      <c r="C248" s="19" t="n"/>
      <c r="D248" s="20" t="n"/>
      <c r="E248" s="21" t="n"/>
      <c r="F248" s="21" t="n"/>
      <c r="G248" s="21" t="n"/>
      <c r="H248" s="22" t="n"/>
      <c r="I248" s="23" t="n"/>
      <c r="J248" s="22" t="n"/>
      <c r="K248" s="24" t="n"/>
      <c r="L248" s="24" t="n"/>
      <c r="M248" s="24" t="n"/>
      <c r="N248" s="21" t="n"/>
      <c r="O248" s="24" t="n"/>
      <c r="P248" s="19" t="n"/>
      <c r="Q248" s="20" t="n"/>
      <c r="R248" s="23" t="n"/>
      <c r="S248" s="23" t="n"/>
      <c r="T248" s="21" t="n"/>
      <c r="U248" s="21" t="n"/>
      <c r="V248" s="21" t="n"/>
      <c r="W248" s="21" t="n"/>
      <c r="X248" s="21" t="n"/>
      <c r="Y248" s="25">
        <f>IF($C248="","",IF(E248="XAUUSD",0.1,IF(ISNUMBER(SEARCH("JPY",E248)),0.01,0.0001)))</f>
        <v/>
      </c>
      <c r="Z248" s="18">
        <f>IF($C248="","",IF(F248="Sell",-1,1))</f>
        <v/>
      </c>
      <c r="AA248" s="18">
        <f>IF($C248="","",IF(E248="XAUUSD",100,100000))</f>
        <v/>
      </c>
      <c r="AB248" s="26">
        <f>IF(OR(K248="",L248=""),"",ABS(K248-L248)/Y248)</f>
        <v/>
      </c>
      <c r="AC248" s="26">
        <f>IF(OR(K248="",M248=""),"",ABS(M248-K248)/Y248)</f>
        <v/>
      </c>
      <c r="AD248" s="26">
        <f>IF(OR(K248="",O248=""),"",(O248-K248)*Z248/Y248)</f>
        <v/>
      </c>
      <c r="AE248" s="27">
        <f>IF(OR(AB248="",AB248=0,AC248=""),"",AC248/AB248)</f>
        <v/>
      </c>
      <c r="AF248" s="27">
        <f>IF(OR(AB248="",AB248=0,AD248=""),"",AD248/AB248)</f>
        <v/>
      </c>
      <c r="AG248" s="27">
        <f>IF(OR(C248="",P248=""),"",((P248+IF(Q248="",0,Q248))-(C248+IF(D248="",0,D248)))*24)</f>
        <v/>
      </c>
      <c r="AH248" s="18">
        <f>IF(AG248="","",INT(AG248/24)&amp;"d "&amp;INT(MOD(AG248,24))&amp;"h "&amp;INT(MOD(AG248*60,60))&amp;"m")</f>
        <v/>
      </c>
      <c r="AI248" s="28">
        <f>IF(OR(O248="",K248="",H248=""),"",IF(OR(E248="XAUUSD",RIGHT(E248,3)="USD"),(O248-K248)*Z248*AA248*H248,IF(LEFT(E248,3)="USD",IF(O248=0,"",(O248-K248)*Z248*AA248*H248/O248),AD248*10*H248)))</f>
        <v/>
      </c>
      <c r="AJ248" s="28">
        <f>IF(O248="","",IF(S248="",IF(AI248="",0,AI248),S248)-IF(R248="",0,R248))</f>
        <v/>
      </c>
      <c r="AK248" s="18">
        <f>IF(C248="","",IF(OR(O248="",P248=""),"Open",IF(ABS(AJ248)&lt;=BEThreshold,"BE",IF(AJ248&gt;0,"Win","Loss"))))</f>
        <v/>
      </c>
      <c r="AL248" s="28">
        <f>IF(OR(C248="",AK248="Open"),"",InitialCapital+SUMIFS($AJ$2:AJ248,$AK$2:AK248,"&lt;&gt;Open"))</f>
        <v/>
      </c>
      <c r="AM248" s="18">
        <f>IF(OR(C248="",AK248=""),"",IF(AK248="Open","No","Yes"))</f>
        <v/>
      </c>
    </row>
    <row r="249" ht="18" customHeight="1">
      <c r="A249" s="18">
        <f>IF(C249="","",COUNTA($C$2:C249))</f>
        <v/>
      </c>
      <c r="B249" s="18">
        <f>IF(C249="","",TEXT(C249,"dddd"))</f>
        <v/>
      </c>
      <c r="C249" s="19" t="n"/>
      <c r="D249" s="20" t="n"/>
      <c r="E249" s="21" t="n"/>
      <c r="F249" s="21" t="n"/>
      <c r="G249" s="21" t="n"/>
      <c r="H249" s="22" t="n"/>
      <c r="I249" s="23" t="n"/>
      <c r="J249" s="22" t="n"/>
      <c r="K249" s="24" t="n"/>
      <c r="L249" s="24" t="n"/>
      <c r="M249" s="24" t="n"/>
      <c r="N249" s="21" t="n"/>
      <c r="O249" s="24" t="n"/>
      <c r="P249" s="19" t="n"/>
      <c r="Q249" s="20" t="n"/>
      <c r="R249" s="23" t="n"/>
      <c r="S249" s="23" t="n"/>
      <c r="T249" s="21" t="n"/>
      <c r="U249" s="21" t="n"/>
      <c r="V249" s="21" t="n"/>
      <c r="W249" s="21" t="n"/>
      <c r="X249" s="21" t="n"/>
      <c r="Y249" s="25">
        <f>IF($C249="","",IF(E249="XAUUSD",0.1,IF(ISNUMBER(SEARCH("JPY",E249)),0.01,0.0001)))</f>
        <v/>
      </c>
      <c r="Z249" s="18">
        <f>IF($C249="","",IF(F249="Sell",-1,1))</f>
        <v/>
      </c>
      <c r="AA249" s="18">
        <f>IF($C249="","",IF(E249="XAUUSD",100,100000))</f>
        <v/>
      </c>
      <c r="AB249" s="26">
        <f>IF(OR(K249="",L249=""),"",ABS(K249-L249)/Y249)</f>
        <v/>
      </c>
      <c r="AC249" s="26">
        <f>IF(OR(K249="",M249=""),"",ABS(M249-K249)/Y249)</f>
        <v/>
      </c>
      <c r="AD249" s="26">
        <f>IF(OR(K249="",O249=""),"",(O249-K249)*Z249/Y249)</f>
        <v/>
      </c>
      <c r="AE249" s="27">
        <f>IF(OR(AB249="",AB249=0,AC249=""),"",AC249/AB249)</f>
        <v/>
      </c>
      <c r="AF249" s="27">
        <f>IF(OR(AB249="",AB249=0,AD249=""),"",AD249/AB249)</f>
        <v/>
      </c>
      <c r="AG249" s="27">
        <f>IF(OR(C249="",P249=""),"",((P249+IF(Q249="",0,Q249))-(C249+IF(D249="",0,D249)))*24)</f>
        <v/>
      </c>
      <c r="AH249" s="18">
        <f>IF(AG249="","",INT(AG249/24)&amp;"d "&amp;INT(MOD(AG249,24))&amp;"h "&amp;INT(MOD(AG249*60,60))&amp;"m")</f>
        <v/>
      </c>
      <c r="AI249" s="28">
        <f>IF(OR(O249="",K249="",H249=""),"",IF(OR(E249="XAUUSD",RIGHT(E249,3)="USD"),(O249-K249)*Z249*AA249*H249,IF(LEFT(E249,3)="USD",IF(O249=0,"",(O249-K249)*Z249*AA249*H249/O249),AD249*10*H249)))</f>
        <v/>
      </c>
      <c r="AJ249" s="28">
        <f>IF(O249="","",IF(S249="",IF(AI249="",0,AI249),S249)-IF(R249="",0,R249))</f>
        <v/>
      </c>
      <c r="AK249" s="18">
        <f>IF(C249="","",IF(OR(O249="",P249=""),"Open",IF(ABS(AJ249)&lt;=BEThreshold,"BE",IF(AJ249&gt;0,"Win","Loss"))))</f>
        <v/>
      </c>
      <c r="AL249" s="28">
        <f>IF(OR(C249="",AK249="Open"),"",InitialCapital+SUMIFS($AJ$2:AJ249,$AK$2:AK249,"&lt;&gt;Open"))</f>
        <v/>
      </c>
      <c r="AM249" s="18">
        <f>IF(OR(C249="",AK249=""),"",IF(AK249="Open","No","Yes"))</f>
        <v/>
      </c>
    </row>
    <row r="250" ht="18" customHeight="1">
      <c r="A250" s="18">
        <f>IF(C250="","",COUNTA($C$2:C250))</f>
        <v/>
      </c>
      <c r="B250" s="18">
        <f>IF(C250="","",TEXT(C250,"dddd"))</f>
        <v/>
      </c>
      <c r="C250" s="19" t="n"/>
      <c r="D250" s="20" t="n"/>
      <c r="E250" s="21" t="n"/>
      <c r="F250" s="21" t="n"/>
      <c r="G250" s="21" t="n"/>
      <c r="H250" s="22" t="n"/>
      <c r="I250" s="23" t="n"/>
      <c r="J250" s="22" t="n"/>
      <c r="K250" s="24" t="n"/>
      <c r="L250" s="24" t="n"/>
      <c r="M250" s="24" t="n"/>
      <c r="N250" s="21" t="n"/>
      <c r="O250" s="24" t="n"/>
      <c r="P250" s="19" t="n"/>
      <c r="Q250" s="20" t="n"/>
      <c r="R250" s="23" t="n"/>
      <c r="S250" s="23" t="n"/>
      <c r="T250" s="21" t="n"/>
      <c r="U250" s="21" t="n"/>
      <c r="V250" s="21" t="n"/>
      <c r="W250" s="21" t="n"/>
      <c r="X250" s="21" t="n"/>
      <c r="Y250" s="25">
        <f>IF($C250="","",IF(E250="XAUUSD",0.1,IF(ISNUMBER(SEARCH("JPY",E250)),0.01,0.0001)))</f>
        <v/>
      </c>
      <c r="Z250" s="18">
        <f>IF($C250="","",IF(F250="Sell",-1,1))</f>
        <v/>
      </c>
      <c r="AA250" s="18">
        <f>IF($C250="","",IF(E250="XAUUSD",100,100000))</f>
        <v/>
      </c>
      <c r="AB250" s="26">
        <f>IF(OR(K250="",L250=""),"",ABS(K250-L250)/Y250)</f>
        <v/>
      </c>
      <c r="AC250" s="26">
        <f>IF(OR(K250="",M250=""),"",ABS(M250-K250)/Y250)</f>
        <v/>
      </c>
      <c r="AD250" s="26">
        <f>IF(OR(K250="",O250=""),"",(O250-K250)*Z250/Y250)</f>
        <v/>
      </c>
      <c r="AE250" s="27">
        <f>IF(OR(AB250="",AB250=0,AC250=""),"",AC250/AB250)</f>
        <v/>
      </c>
      <c r="AF250" s="27">
        <f>IF(OR(AB250="",AB250=0,AD250=""),"",AD250/AB250)</f>
        <v/>
      </c>
      <c r="AG250" s="27">
        <f>IF(OR(C250="",P250=""),"",((P250+IF(Q250="",0,Q250))-(C250+IF(D250="",0,D250)))*24)</f>
        <v/>
      </c>
      <c r="AH250" s="18">
        <f>IF(AG250="","",INT(AG250/24)&amp;"d "&amp;INT(MOD(AG250,24))&amp;"h "&amp;INT(MOD(AG250*60,60))&amp;"m")</f>
        <v/>
      </c>
      <c r="AI250" s="28">
        <f>IF(OR(O250="",K250="",H250=""),"",IF(OR(E250="XAUUSD",RIGHT(E250,3)="USD"),(O250-K250)*Z250*AA250*H250,IF(LEFT(E250,3)="USD",IF(O250=0,"",(O250-K250)*Z250*AA250*H250/O250),AD250*10*H250)))</f>
        <v/>
      </c>
      <c r="AJ250" s="28">
        <f>IF(O250="","",IF(S250="",IF(AI250="",0,AI250),S250)-IF(R250="",0,R250))</f>
        <v/>
      </c>
      <c r="AK250" s="18">
        <f>IF(C250="","",IF(OR(O250="",P250=""),"Open",IF(ABS(AJ250)&lt;=BEThreshold,"BE",IF(AJ250&gt;0,"Win","Loss"))))</f>
        <v/>
      </c>
      <c r="AL250" s="28">
        <f>IF(OR(C250="",AK250="Open"),"",InitialCapital+SUMIFS($AJ$2:AJ250,$AK$2:AK250,"&lt;&gt;Open"))</f>
        <v/>
      </c>
      <c r="AM250" s="18">
        <f>IF(OR(C250="",AK250=""),"",IF(AK250="Open","No","Yes"))</f>
        <v/>
      </c>
    </row>
    <row r="251" ht="18" customHeight="1">
      <c r="A251" s="18">
        <f>IF(C251="","",COUNTA($C$2:C251))</f>
        <v/>
      </c>
      <c r="B251" s="18">
        <f>IF(C251="","",TEXT(C251,"dddd"))</f>
        <v/>
      </c>
      <c r="C251" s="19" t="n"/>
      <c r="D251" s="20" t="n"/>
      <c r="E251" s="21" t="n"/>
      <c r="F251" s="21" t="n"/>
      <c r="G251" s="21" t="n"/>
      <c r="H251" s="22" t="n"/>
      <c r="I251" s="23" t="n"/>
      <c r="J251" s="22" t="n"/>
      <c r="K251" s="24" t="n"/>
      <c r="L251" s="24" t="n"/>
      <c r="M251" s="24" t="n"/>
      <c r="N251" s="21" t="n"/>
      <c r="O251" s="24" t="n"/>
      <c r="P251" s="19" t="n"/>
      <c r="Q251" s="20" t="n"/>
      <c r="R251" s="23" t="n"/>
      <c r="S251" s="23" t="n"/>
      <c r="T251" s="21" t="n"/>
      <c r="U251" s="21" t="n"/>
      <c r="V251" s="21" t="n"/>
      <c r="W251" s="21" t="n"/>
      <c r="X251" s="21" t="n"/>
      <c r="Y251" s="25">
        <f>IF($C251="","",IF(E251="XAUUSD",0.1,IF(ISNUMBER(SEARCH("JPY",E251)),0.01,0.0001)))</f>
        <v/>
      </c>
      <c r="Z251" s="18">
        <f>IF($C251="","",IF(F251="Sell",-1,1))</f>
        <v/>
      </c>
      <c r="AA251" s="18">
        <f>IF($C251="","",IF(E251="XAUUSD",100,100000))</f>
        <v/>
      </c>
      <c r="AB251" s="26">
        <f>IF(OR(K251="",L251=""),"",ABS(K251-L251)/Y251)</f>
        <v/>
      </c>
      <c r="AC251" s="26">
        <f>IF(OR(K251="",M251=""),"",ABS(M251-K251)/Y251)</f>
        <v/>
      </c>
      <c r="AD251" s="26">
        <f>IF(OR(K251="",O251=""),"",(O251-K251)*Z251/Y251)</f>
        <v/>
      </c>
      <c r="AE251" s="27">
        <f>IF(OR(AB251="",AB251=0,AC251=""),"",AC251/AB251)</f>
        <v/>
      </c>
      <c r="AF251" s="27">
        <f>IF(OR(AB251="",AB251=0,AD251=""),"",AD251/AB251)</f>
        <v/>
      </c>
      <c r="AG251" s="27">
        <f>IF(OR(C251="",P251=""),"",((P251+IF(Q251="",0,Q251))-(C251+IF(D251="",0,D251)))*24)</f>
        <v/>
      </c>
      <c r="AH251" s="18">
        <f>IF(AG251="","",INT(AG251/24)&amp;"d "&amp;INT(MOD(AG251,24))&amp;"h "&amp;INT(MOD(AG251*60,60))&amp;"m")</f>
        <v/>
      </c>
      <c r="AI251" s="28">
        <f>IF(OR(O251="",K251="",H251=""),"",IF(OR(E251="XAUUSD",RIGHT(E251,3)="USD"),(O251-K251)*Z251*AA251*H251,IF(LEFT(E251,3)="USD",IF(O251=0,"",(O251-K251)*Z251*AA251*H251/O251),AD251*10*H251)))</f>
        <v/>
      </c>
      <c r="AJ251" s="28">
        <f>IF(O251="","",IF(S251="",IF(AI251="",0,AI251),S251)-IF(R251="",0,R251))</f>
        <v/>
      </c>
      <c r="AK251" s="18">
        <f>IF(C251="","",IF(OR(O251="",P251=""),"Open",IF(ABS(AJ251)&lt;=BEThreshold,"BE",IF(AJ251&gt;0,"Win","Loss"))))</f>
        <v/>
      </c>
      <c r="AL251" s="28">
        <f>IF(OR(C251="",AK251="Open"),"",InitialCapital+SUMIFS($AJ$2:AJ251,$AK$2:AK251,"&lt;&gt;Open"))</f>
        <v/>
      </c>
      <c r="AM251" s="18">
        <f>IF(OR(C251="",AK251=""),"",IF(AK251="Open","No","Yes"))</f>
        <v/>
      </c>
    </row>
    <row r="252" ht="18" customHeight="1">
      <c r="A252" s="18">
        <f>IF(C252="","",COUNTA($C$2:C252))</f>
        <v/>
      </c>
      <c r="B252" s="18">
        <f>IF(C252="","",TEXT(C252,"dddd"))</f>
        <v/>
      </c>
      <c r="C252" s="19" t="n"/>
      <c r="D252" s="20" t="n"/>
      <c r="E252" s="21" t="n"/>
      <c r="F252" s="21" t="n"/>
      <c r="G252" s="21" t="n"/>
      <c r="H252" s="22" t="n"/>
      <c r="I252" s="23" t="n"/>
      <c r="J252" s="22" t="n"/>
      <c r="K252" s="24" t="n"/>
      <c r="L252" s="24" t="n"/>
      <c r="M252" s="24" t="n"/>
      <c r="N252" s="21" t="n"/>
      <c r="O252" s="24" t="n"/>
      <c r="P252" s="19" t="n"/>
      <c r="Q252" s="20" t="n"/>
      <c r="R252" s="23" t="n"/>
      <c r="S252" s="23" t="n"/>
      <c r="T252" s="21" t="n"/>
      <c r="U252" s="21" t="n"/>
      <c r="V252" s="21" t="n"/>
      <c r="W252" s="21" t="n"/>
      <c r="X252" s="21" t="n"/>
      <c r="Y252" s="25">
        <f>IF($C252="","",IF(E252="XAUUSD",0.1,IF(ISNUMBER(SEARCH("JPY",E252)),0.01,0.0001)))</f>
        <v/>
      </c>
      <c r="Z252" s="18">
        <f>IF($C252="","",IF(F252="Sell",-1,1))</f>
        <v/>
      </c>
      <c r="AA252" s="18">
        <f>IF($C252="","",IF(E252="XAUUSD",100,100000))</f>
        <v/>
      </c>
      <c r="AB252" s="26">
        <f>IF(OR(K252="",L252=""),"",ABS(K252-L252)/Y252)</f>
        <v/>
      </c>
      <c r="AC252" s="26">
        <f>IF(OR(K252="",M252=""),"",ABS(M252-K252)/Y252)</f>
        <v/>
      </c>
      <c r="AD252" s="26">
        <f>IF(OR(K252="",O252=""),"",(O252-K252)*Z252/Y252)</f>
        <v/>
      </c>
      <c r="AE252" s="27">
        <f>IF(OR(AB252="",AB252=0,AC252=""),"",AC252/AB252)</f>
        <v/>
      </c>
      <c r="AF252" s="27">
        <f>IF(OR(AB252="",AB252=0,AD252=""),"",AD252/AB252)</f>
        <v/>
      </c>
      <c r="AG252" s="27">
        <f>IF(OR(C252="",P252=""),"",((P252+IF(Q252="",0,Q252))-(C252+IF(D252="",0,D252)))*24)</f>
        <v/>
      </c>
      <c r="AH252" s="18">
        <f>IF(AG252="","",INT(AG252/24)&amp;"d "&amp;INT(MOD(AG252,24))&amp;"h "&amp;INT(MOD(AG252*60,60))&amp;"m")</f>
        <v/>
      </c>
      <c r="AI252" s="28">
        <f>IF(OR(O252="",K252="",H252=""),"",IF(OR(E252="XAUUSD",RIGHT(E252,3)="USD"),(O252-K252)*Z252*AA252*H252,IF(LEFT(E252,3)="USD",IF(O252=0,"",(O252-K252)*Z252*AA252*H252/O252),AD252*10*H252)))</f>
        <v/>
      </c>
      <c r="AJ252" s="28">
        <f>IF(O252="","",IF(S252="",IF(AI252="",0,AI252),S252)-IF(R252="",0,R252))</f>
        <v/>
      </c>
      <c r="AK252" s="18">
        <f>IF(C252="","",IF(OR(O252="",P252=""),"Open",IF(ABS(AJ252)&lt;=BEThreshold,"BE",IF(AJ252&gt;0,"Win","Loss"))))</f>
        <v/>
      </c>
      <c r="AL252" s="28">
        <f>IF(OR(C252="",AK252="Open"),"",InitialCapital+SUMIFS($AJ$2:AJ252,$AK$2:AK252,"&lt;&gt;Open"))</f>
        <v/>
      </c>
      <c r="AM252" s="18">
        <f>IF(OR(C252="",AK252=""),"",IF(AK252="Open","No","Yes"))</f>
        <v/>
      </c>
    </row>
    <row r="253" ht="18" customHeight="1">
      <c r="A253" s="18">
        <f>IF(C253="","",COUNTA($C$2:C253))</f>
        <v/>
      </c>
      <c r="B253" s="18">
        <f>IF(C253="","",TEXT(C253,"dddd"))</f>
        <v/>
      </c>
      <c r="C253" s="19" t="n"/>
      <c r="D253" s="20" t="n"/>
      <c r="E253" s="21" t="n"/>
      <c r="F253" s="21" t="n"/>
      <c r="G253" s="21" t="n"/>
      <c r="H253" s="22" t="n"/>
      <c r="I253" s="23" t="n"/>
      <c r="J253" s="22" t="n"/>
      <c r="K253" s="24" t="n"/>
      <c r="L253" s="24" t="n"/>
      <c r="M253" s="24" t="n"/>
      <c r="N253" s="21" t="n"/>
      <c r="O253" s="24" t="n"/>
      <c r="P253" s="19" t="n"/>
      <c r="Q253" s="20" t="n"/>
      <c r="R253" s="23" t="n"/>
      <c r="S253" s="23" t="n"/>
      <c r="T253" s="21" t="n"/>
      <c r="U253" s="21" t="n"/>
      <c r="V253" s="21" t="n"/>
      <c r="W253" s="21" t="n"/>
      <c r="X253" s="21" t="n"/>
      <c r="Y253" s="25">
        <f>IF($C253="","",IF(E253="XAUUSD",0.1,IF(ISNUMBER(SEARCH("JPY",E253)),0.01,0.0001)))</f>
        <v/>
      </c>
      <c r="Z253" s="18">
        <f>IF($C253="","",IF(F253="Sell",-1,1))</f>
        <v/>
      </c>
      <c r="AA253" s="18">
        <f>IF($C253="","",IF(E253="XAUUSD",100,100000))</f>
        <v/>
      </c>
      <c r="AB253" s="26">
        <f>IF(OR(K253="",L253=""),"",ABS(K253-L253)/Y253)</f>
        <v/>
      </c>
      <c r="AC253" s="26">
        <f>IF(OR(K253="",M253=""),"",ABS(M253-K253)/Y253)</f>
        <v/>
      </c>
      <c r="AD253" s="26">
        <f>IF(OR(K253="",O253=""),"",(O253-K253)*Z253/Y253)</f>
        <v/>
      </c>
      <c r="AE253" s="27">
        <f>IF(OR(AB253="",AB253=0,AC253=""),"",AC253/AB253)</f>
        <v/>
      </c>
      <c r="AF253" s="27">
        <f>IF(OR(AB253="",AB253=0,AD253=""),"",AD253/AB253)</f>
        <v/>
      </c>
      <c r="AG253" s="27">
        <f>IF(OR(C253="",P253=""),"",((P253+IF(Q253="",0,Q253))-(C253+IF(D253="",0,D253)))*24)</f>
        <v/>
      </c>
      <c r="AH253" s="18">
        <f>IF(AG253="","",INT(AG253/24)&amp;"d "&amp;INT(MOD(AG253,24))&amp;"h "&amp;INT(MOD(AG253*60,60))&amp;"m")</f>
        <v/>
      </c>
      <c r="AI253" s="28">
        <f>IF(OR(O253="",K253="",H253=""),"",IF(OR(E253="XAUUSD",RIGHT(E253,3)="USD"),(O253-K253)*Z253*AA253*H253,IF(LEFT(E253,3)="USD",IF(O253=0,"",(O253-K253)*Z253*AA253*H253/O253),AD253*10*H253)))</f>
        <v/>
      </c>
      <c r="AJ253" s="28">
        <f>IF(O253="","",IF(S253="",IF(AI253="",0,AI253),S253)-IF(R253="",0,R253))</f>
        <v/>
      </c>
      <c r="AK253" s="18">
        <f>IF(C253="","",IF(OR(O253="",P253=""),"Open",IF(ABS(AJ253)&lt;=BEThreshold,"BE",IF(AJ253&gt;0,"Win","Loss"))))</f>
        <v/>
      </c>
      <c r="AL253" s="28">
        <f>IF(OR(C253="",AK253="Open"),"",InitialCapital+SUMIFS($AJ$2:AJ253,$AK$2:AK253,"&lt;&gt;Open"))</f>
        <v/>
      </c>
      <c r="AM253" s="18">
        <f>IF(OR(C253="",AK253=""),"",IF(AK253="Open","No","Yes"))</f>
        <v/>
      </c>
    </row>
    <row r="254" ht="18" customHeight="1">
      <c r="A254" s="18">
        <f>IF(C254="","",COUNTA($C$2:C254))</f>
        <v/>
      </c>
      <c r="B254" s="18">
        <f>IF(C254="","",TEXT(C254,"dddd"))</f>
        <v/>
      </c>
      <c r="C254" s="19" t="n"/>
      <c r="D254" s="20" t="n"/>
      <c r="E254" s="21" t="n"/>
      <c r="F254" s="21" t="n"/>
      <c r="G254" s="21" t="n"/>
      <c r="H254" s="22" t="n"/>
      <c r="I254" s="23" t="n"/>
      <c r="J254" s="22" t="n"/>
      <c r="K254" s="24" t="n"/>
      <c r="L254" s="24" t="n"/>
      <c r="M254" s="24" t="n"/>
      <c r="N254" s="21" t="n"/>
      <c r="O254" s="24" t="n"/>
      <c r="P254" s="19" t="n"/>
      <c r="Q254" s="20" t="n"/>
      <c r="R254" s="23" t="n"/>
      <c r="S254" s="23" t="n"/>
      <c r="T254" s="21" t="n"/>
      <c r="U254" s="21" t="n"/>
      <c r="V254" s="21" t="n"/>
      <c r="W254" s="21" t="n"/>
      <c r="X254" s="21" t="n"/>
      <c r="Y254" s="25">
        <f>IF($C254="","",IF(E254="XAUUSD",0.1,IF(ISNUMBER(SEARCH("JPY",E254)),0.01,0.0001)))</f>
        <v/>
      </c>
      <c r="Z254" s="18">
        <f>IF($C254="","",IF(F254="Sell",-1,1))</f>
        <v/>
      </c>
      <c r="AA254" s="18">
        <f>IF($C254="","",IF(E254="XAUUSD",100,100000))</f>
        <v/>
      </c>
      <c r="AB254" s="26">
        <f>IF(OR(K254="",L254=""),"",ABS(K254-L254)/Y254)</f>
        <v/>
      </c>
      <c r="AC254" s="26">
        <f>IF(OR(K254="",M254=""),"",ABS(M254-K254)/Y254)</f>
        <v/>
      </c>
      <c r="AD254" s="26">
        <f>IF(OR(K254="",O254=""),"",(O254-K254)*Z254/Y254)</f>
        <v/>
      </c>
      <c r="AE254" s="27">
        <f>IF(OR(AB254="",AB254=0,AC254=""),"",AC254/AB254)</f>
        <v/>
      </c>
      <c r="AF254" s="27">
        <f>IF(OR(AB254="",AB254=0,AD254=""),"",AD254/AB254)</f>
        <v/>
      </c>
      <c r="AG254" s="27">
        <f>IF(OR(C254="",P254=""),"",((P254+IF(Q254="",0,Q254))-(C254+IF(D254="",0,D254)))*24)</f>
        <v/>
      </c>
      <c r="AH254" s="18">
        <f>IF(AG254="","",INT(AG254/24)&amp;"d "&amp;INT(MOD(AG254,24))&amp;"h "&amp;INT(MOD(AG254*60,60))&amp;"m")</f>
        <v/>
      </c>
      <c r="AI254" s="28">
        <f>IF(OR(O254="",K254="",H254=""),"",IF(OR(E254="XAUUSD",RIGHT(E254,3)="USD"),(O254-K254)*Z254*AA254*H254,IF(LEFT(E254,3)="USD",IF(O254=0,"",(O254-K254)*Z254*AA254*H254/O254),AD254*10*H254)))</f>
        <v/>
      </c>
      <c r="AJ254" s="28">
        <f>IF(O254="","",IF(S254="",IF(AI254="",0,AI254),S254)-IF(R254="",0,R254))</f>
        <v/>
      </c>
      <c r="AK254" s="18">
        <f>IF(C254="","",IF(OR(O254="",P254=""),"Open",IF(ABS(AJ254)&lt;=BEThreshold,"BE",IF(AJ254&gt;0,"Win","Loss"))))</f>
        <v/>
      </c>
      <c r="AL254" s="28">
        <f>IF(OR(C254="",AK254="Open"),"",InitialCapital+SUMIFS($AJ$2:AJ254,$AK$2:AK254,"&lt;&gt;Open"))</f>
        <v/>
      </c>
      <c r="AM254" s="18">
        <f>IF(OR(C254="",AK254=""),"",IF(AK254="Open","No","Yes"))</f>
        <v/>
      </c>
    </row>
    <row r="255" ht="18" customHeight="1">
      <c r="A255" s="18">
        <f>IF(C255="","",COUNTA($C$2:C255))</f>
        <v/>
      </c>
      <c r="B255" s="18">
        <f>IF(C255="","",TEXT(C255,"dddd"))</f>
        <v/>
      </c>
      <c r="C255" s="19" t="n"/>
      <c r="D255" s="20" t="n"/>
      <c r="E255" s="21" t="n"/>
      <c r="F255" s="21" t="n"/>
      <c r="G255" s="21" t="n"/>
      <c r="H255" s="22" t="n"/>
      <c r="I255" s="23" t="n"/>
      <c r="J255" s="22" t="n"/>
      <c r="K255" s="24" t="n"/>
      <c r="L255" s="24" t="n"/>
      <c r="M255" s="24" t="n"/>
      <c r="N255" s="21" t="n"/>
      <c r="O255" s="24" t="n"/>
      <c r="P255" s="19" t="n"/>
      <c r="Q255" s="20" t="n"/>
      <c r="R255" s="23" t="n"/>
      <c r="S255" s="23" t="n"/>
      <c r="T255" s="21" t="n"/>
      <c r="U255" s="21" t="n"/>
      <c r="V255" s="21" t="n"/>
      <c r="W255" s="21" t="n"/>
      <c r="X255" s="21" t="n"/>
      <c r="Y255" s="25">
        <f>IF($C255="","",IF(E255="XAUUSD",0.1,IF(ISNUMBER(SEARCH("JPY",E255)),0.01,0.0001)))</f>
        <v/>
      </c>
      <c r="Z255" s="18">
        <f>IF($C255="","",IF(F255="Sell",-1,1))</f>
        <v/>
      </c>
      <c r="AA255" s="18">
        <f>IF($C255="","",IF(E255="XAUUSD",100,100000))</f>
        <v/>
      </c>
      <c r="AB255" s="26">
        <f>IF(OR(K255="",L255=""),"",ABS(K255-L255)/Y255)</f>
        <v/>
      </c>
      <c r="AC255" s="26">
        <f>IF(OR(K255="",M255=""),"",ABS(M255-K255)/Y255)</f>
        <v/>
      </c>
      <c r="AD255" s="26">
        <f>IF(OR(K255="",O255=""),"",(O255-K255)*Z255/Y255)</f>
        <v/>
      </c>
      <c r="AE255" s="27">
        <f>IF(OR(AB255="",AB255=0,AC255=""),"",AC255/AB255)</f>
        <v/>
      </c>
      <c r="AF255" s="27">
        <f>IF(OR(AB255="",AB255=0,AD255=""),"",AD255/AB255)</f>
        <v/>
      </c>
      <c r="AG255" s="27">
        <f>IF(OR(C255="",P255=""),"",((P255+IF(Q255="",0,Q255))-(C255+IF(D255="",0,D255)))*24)</f>
        <v/>
      </c>
      <c r="AH255" s="18">
        <f>IF(AG255="","",INT(AG255/24)&amp;"d "&amp;INT(MOD(AG255,24))&amp;"h "&amp;INT(MOD(AG255*60,60))&amp;"m")</f>
        <v/>
      </c>
      <c r="AI255" s="28">
        <f>IF(OR(O255="",K255="",H255=""),"",IF(OR(E255="XAUUSD",RIGHT(E255,3)="USD"),(O255-K255)*Z255*AA255*H255,IF(LEFT(E255,3)="USD",IF(O255=0,"",(O255-K255)*Z255*AA255*H255/O255),AD255*10*H255)))</f>
        <v/>
      </c>
      <c r="AJ255" s="28">
        <f>IF(O255="","",IF(S255="",IF(AI255="",0,AI255),S255)-IF(R255="",0,R255))</f>
        <v/>
      </c>
      <c r="AK255" s="18">
        <f>IF(C255="","",IF(OR(O255="",P255=""),"Open",IF(ABS(AJ255)&lt;=BEThreshold,"BE",IF(AJ255&gt;0,"Win","Loss"))))</f>
        <v/>
      </c>
      <c r="AL255" s="28">
        <f>IF(OR(C255="",AK255="Open"),"",InitialCapital+SUMIFS($AJ$2:AJ255,$AK$2:AK255,"&lt;&gt;Open"))</f>
        <v/>
      </c>
      <c r="AM255" s="18">
        <f>IF(OR(C255="",AK255=""),"",IF(AK255="Open","No","Yes"))</f>
        <v/>
      </c>
    </row>
    <row r="256" ht="18" customHeight="1">
      <c r="A256" s="18">
        <f>IF(C256="","",COUNTA($C$2:C256))</f>
        <v/>
      </c>
      <c r="B256" s="18">
        <f>IF(C256="","",TEXT(C256,"dddd"))</f>
        <v/>
      </c>
      <c r="C256" s="19" t="n"/>
      <c r="D256" s="20" t="n"/>
      <c r="E256" s="21" t="n"/>
      <c r="F256" s="21" t="n"/>
      <c r="G256" s="21" t="n"/>
      <c r="H256" s="22" t="n"/>
      <c r="I256" s="23" t="n"/>
      <c r="J256" s="22" t="n"/>
      <c r="K256" s="24" t="n"/>
      <c r="L256" s="24" t="n"/>
      <c r="M256" s="24" t="n"/>
      <c r="N256" s="21" t="n"/>
      <c r="O256" s="24" t="n"/>
      <c r="P256" s="19" t="n"/>
      <c r="Q256" s="20" t="n"/>
      <c r="R256" s="23" t="n"/>
      <c r="S256" s="23" t="n"/>
      <c r="T256" s="21" t="n"/>
      <c r="U256" s="21" t="n"/>
      <c r="V256" s="21" t="n"/>
      <c r="W256" s="21" t="n"/>
      <c r="X256" s="21" t="n"/>
      <c r="Y256" s="25">
        <f>IF($C256="","",IF(E256="XAUUSD",0.1,IF(ISNUMBER(SEARCH("JPY",E256)),0.01,0.0001)))</f>
        <v/>
      </c>
      <c r="Z256" s="18">
        <f>IF($C256="","",IF(F256="Sell",-1,1))</f>
        <v/>
      </c>
      <c r="AA256" s="18">
        <f>IF($C256="","",IF(E256="XAUUSD",100,100000))</f>
        <v/>
      </c>
      <c r="AB256" s="26">
        <f>IF(OR(K256="",L256=""),"",ABS(K256-L256)/Y256)</f>
        <v/>
      </c>
      <c r="AC256" s="26">
        <f>IF(OR(K256="",M256=""),"",ABS(M256-K256)/Y256)</f>
        <v/>
      </c>
      <c r="AD256" s="26">
        <f>IF(OR(K256="",O256=""),"",(O256-K256)*Z256/Y256)</f>
        <v/>
      </c>
      <c r="AE256" s="27">
        <f>IF(OR(AB256="",AB256=0,AC256=""),"",AC256/AB256)</f>
        <v/>
      </c>
      <c r="AF256" s="27">
        <f>IF(OR(AB256="",AB256=0,AD256=""),"",AD256/AB256)</f>
        <v/>
      </c>
      <c r="AG256" s="27">
        <f>IF(OR(C256="",P256=""),"",((P256+IF(Q256="",0,Q256))-(C256+IF(D256="",0,D256)))*24)</f>
        <v/>
      </c>
      <c r="AH256" s="18">
        <f>IF(AG256="","",INT(AG256/24)&amp;"d "&amp;INT(MOD(AG256,24))&amp;"h "&amp;INT(MOD(AG256*60,60))&amp;"m")</f>
        <v/>
      </c>
      <c r="AI256" s="28">
        <f>IF(OR(O256="",K256="",H256=""),"",IF(OR(E256="XAUUSD",RIGHT(E256,3)="USD"),(O256-K256)*Z256*AA256*H256,IF(LEFT(E256,3)="USD",IF(O256=0,"",(O256-K256)*Z256*AA256*H256/O256),AD256*10*H256)))</f>
        <v/>
      </c>
      <c r="AJ256" s="28">
        <f>IF(O256="","",IF(S256="",IF(AI256="",0,AI256),S256)-IF(R256="",0,R256))</f>
        <v/>
      </c>
      <c r="AK256" s="18">
        <f>IF(C256="","",IF(OR(O256="",P256=""),"Open",IF(ABS(AJ256)&lt;=BEThreshold,"BE",IF(AJ256&gt;0,"Win","Loss"))))</f>
        <v/>
      </c>
      <c r="AL256" s="28">
        <f>IF(OR(C256="",AK256="Open"),"",InitialCapital+SUMIFS($AJ$2:AJ256,$AK$2:AK256,"&lt;&gt;Open"))</f>
        <v/>
      </c>
      <c r="AM256" s="18">
        <f>IF(OR(C256="",AK256=""),"",IF(AK256="Open","No","Yes"))</f>
        <v/>
      </c>
    </row>
    <row r="257" ht="18" customHeight="1">
      <c r="A257" s="18">
        <f>IF(C257="","",COUNTA($C$2:C257))</f>
        <v/>
      </c>
      <c r="B257" s="18">
        <f>IF(C257="","",TEXT(C257,"dddd"))</f>
        <v/>
      </c>
      <c r="C257" s="19" t="n"/>
      <c r="D257" s="20" t="n"/>
      <c r="E257" s="21" t="n"/>
      <c r="F257" s="21" t="n"/>
      <c r="G257" s="21" t="n"/>
      <c r="H257" s="22" t="n"/>
      <c r="I257" s="23" t="n"/>
      <c r="J257" s="22" t="n"/>
      <c r="K257" s="24" t="n"/>
      <c r="L257" s="24" t="n"/>
      <c r="M257" s="24" t="n"/>
      <c r="N257" s="21" t="n"/>
      <c r="O257" s="24" t="n"/>
      <c r="P257" s="19" t="n"/>
      <c r="Q257" s="20" t="n"/>
      <c r="R257" s="23" t="n"/>
      <c r="S257" s="23" t="n"/>
      <c r="T257" s="21" t="n"/>
      <c r="U257" s="21" t="n"/>
      <c r="V257" s="21" t="n"/>
      <c r="W257" s="21" t="n"/>
      <c r="X257" s="21" t="n"/>
      <c r="Y257" s="25">
        <f>IF($C257="","",IF(E257="XAUUSD",0.1,IF(ISNUMBER(SEARCH("JPY",E257)),0.01,0.0001)))</f>
        <v/>
      </c>
      <c r="Z257" s="18">
        <f>IF($C257="","",IF(F257="Sell",-1,1))</f>
        <v/>
      </c>
      <c r="AA257" s="18">
        <f>IF($C257="","",IF(E257="XAUUSD",100,100000))</f>
        <v/>
      </c>
      <c r="AB257" s="26">
        <f>IF(OR(K257="",L257=""),"",ABS(K257-L257)/Y257)</f>
        <v/>
      </c>
      <c r="AC257" s="26">
        <f>IF(OR(K257="",M257=""),"",ABS(M257-K257)/Y257)</f>
        <v/>
      </c>
      <c r="AD257" s="26">
        <f>IF(OR(K257="",O257=""),"",(O257-K257)*Z257/Y257)</f>
        <v/>
      </c>
      <c r="AE257" s="27">
        <f>IF(OR(AB257="",AB257=0,AC257=""),"",AC257/AB257)</f>
        <v/>
      </c>
      <c r="AF257" s="27">
        <f>IF(OR(AB257="",AB257=0,AD257=""),"",AD257/AB257)</f>
        <v/>
      </c>
      <c r="AG257" s="27">
        <f>IF(OR(C257="",P257=""),"",((P257+IF(Q257="",0,Q257))-(C257+IF(D257="",0,D257)))*24)</f>
        <v/>
      </c>
      <c r="AH257" s="18">
        <f>IF(AG257="","",INT(AG257/24)&amp;"d "&amp;INT(MOD(AG257,24))&amp;"h "&amp;INT(MOD(AG257*60,60))&amp;"m")</f>
        <v/>
      </c>
      <c r="AI257" s="28">
        <f>IF(OR(O257="",K257="",H257=""),"",IF(OR(E257="XAUUSD",RIGHT(E257,3)="USD"),(O257-K257)*Z257*AA257*H257,IF(LEFT(E257,3)="USD",IF(O257=0,"",(O257-K257)*Z257*AA257*H257/O257),AD257*10*H257)))</f>
        <v/>
      </c>
      <c r="AJ257" s="28">
        <f>IF(O257="","",IF(S257="",IF(AI257="",0,AI257),S257)-IF(R257="",0,R257))</f>
        <v/>
      </c>
      <c r="AK257" s="18">
        <f>IF(C257="","",IF(OR(O257="",P257=""),"Open",IF(ABS(AJ257)&lt;=BEThreshold,"BE",IF(AJ257&gt;0,"Win","Loss"))))</f>
        <v/>
      </c>
      <c r="AL257" s="28">
        <f>IF(OR(C257="",AK257="Open"),"",InitialCapital+SUMIFS($AJ$2:AJ257,$AK$2:AK257,"&lt;&gt;Open"))</f>
        <v/>
      </c>
      <c r="AM257" s="18">
        <f>IF(OR(C257="",AK257=""),"",IF(AK257="Open","No","Yes"))</f>
        <v/>
      </c>
    </row>
    <row r="258" ht="18" customHeight="1">
      <c r="A258" s="18">
        <f>IF(C258="","",COUNTA($C$2:C258))</f>
        <v/>
      </c>
      <c r="B258" s="18">
        <f>IF(C258="","",TEXT(C258,"dddd"))</f>
        <v/>
      </c>
      <c r="C258" s="19" t="n"/>
      <c r="D258" s="20" t="n"/>
      <c r="E258" s="21" t="n"/>
      <c r="F258" s="21" t="n"/>
      <c r="G258" s="21" t="n"/>
      <c r="H258" s="22" t="n"/>
      <c r="I258" s="23" t="n"/>
      <c r="J258" s="22" t="n"/>
      <c r="K258" s="24" t="n"/>
      <c r="L258" s="24" t="n"/>
      <c r="M258" s="24" t="n"/>
      <c r="N258" s="21" t="n"/>
      <c r="O258" s="24" t="n"/>
      <c r="P258" s="19" t="n"/>
      <c r="Q258" s="20" t="n"/>
      <c r="R258" s="23" t="n"/>
      <c r="S258" s="23" t="n"/>
      <c r="T258" s="21" t="n"/>
      <c r="U258" s="21" t="n"/>
      <c r="V258" s="21" t="n"/>
      <c r="W258" s="21" t="n"/>
      <c r="X258" s="21" t="n"/>
      <c r="Y258" s="25">
        <f>IF($C258="","",IF(E258="XAUUSD",0.1,IF(ISNUMBER(SEARCH("JPY",E258)),0.01,0.0001)))</f>
        <v/>
      </c>
      <c r="Z258" s="18">
        <f>IF($C258="","",IF(F258="Sell",-1,1))</f>
        <v/>
      </c>
      <c r="AA258" s="18">
        <f>IF($C258="","",IF(E258="XAUUSD",100,100000))</f>
        <v/>
      </c>
      <c r="AB258" s="26">
        <f>IF(OR(K258="",L258=""),"",ABS(K258-L258)/Y258)</f>
        <v/>
      </c>
      <c r="AC258" s="26">
        <f>IF(OR(K258="",M258=""),"",ABS(M258-K258)/Y258)</f>
        <v/>
      </c>
      <c r="AD258" s="26">
        <f>IF(OR(K258="",O258=""),"",(O258-K258)*Z258/Y258)</f>
        <v/>
      </c>
      <c r="AE258" s="27">
        <f>IF(OR(AB258="",AB258=0,AC258=""),"",AC258/AB258)</f>
        <v/>
      </c>
      <c r="AF258" s="27">
        <f>IF(OR(AB258="",AB258=0,AD258=""),"",AD258/AB258)</f>
        <v/>
      </c>
      <c r="AG258" s="27">
        <f>IF(OR(C258="",P258=""),"",((P258+IF(Q258="",0,Q258))-(C258+IF(D258="",0,D258)))*24)</f>
        <v/>
      </c>
      <c r="AH258" s="18">
        <f>IF(AG258="","",INT(AG258/24)&amp;"d "&amp;INT(MOD(AG258,24))&amp;"h "&amp;INT(MOD(AG258*60,60))&amp;"m")</f>
        <v/>
      </c>
      <c r="AI258" s="28">
        <f>IF(OR(O258="",K258="",H258=""),"",IF(OR(E258="XAUUSD",RIGHT(E258,3)="USD"),(O258-K258)*Z258*AA258*H258,IF(LEFT(E258,3)="USD",IF(O258=0,"",(O258-K258)*Z258*AA258*H258/O258),AD258*10*H258)))</f>
        <v/>
      </c>
      <c r="AJ258" s="28">
        <f>IF(O258="","",IF(S258="",IF(AI258="",0,AI258),S258)-IF(R258="",0,R258))</f>
        <v/>
      </c>
      <c r="AK258" s="18">
        <f>IF(C258="","",IF(OR(O258="",P258=""),"Open",IF(ABS(AJ258)&lt;=BEThreshold,"BE",IF(AJ258&gt;0,"Win","Loss"))))</f>
        <v/>
      </c>
      <c r="AL258" s="28">
        <f>IF(OR(C258="",AK258="Open"),"",InitialCapital+SUMIFS($AJ$2:AJ258,$AK$2:AK258,"&lt;&gt;Open"))</f>
        <v/>
      </c>
      <c r="AM258" s="18">
        <f>IF(OR(C258="",AK258=""),"",IF(AK258="Open","No","Yes"))</f>
        <v/>
      </c>
    </row>
    <row r="259" ht="18" customHeight="1">
      <c r="A259" s="18">
        <f>IF(C259="","",COUNTA($C$2:C259))</f>
        <v/>
      </c>
      <c r="B259" s="18">
        <f>IF(C259="","",TEXT(C259,"dddd"))</f>
        <v/>
      </c>
      <c r="C259" s="19" t="n"/>
      <c r="D259" s="20" t="n"/>
      <c r="E259" s="21" t="n"/>
      <c r="F259" s="21" t="n"/>
      <c r="G259" s="21" t="n"/>
      <c r="H259" s="22" t="n"/>
      <c r="I259" s="23" t="n"/>
      <c r="J259" s="22" t="n"/>
      <c r="K259" s="24" t="n"/>
      <c r="L259" s="24" t="n"/>
      <c r="M259" s="24" t="n"/>
      <c r="N259" s="21" t="n"/>
      <c r="O259" s="24" t="n"/>
      <c r="P259" s="19" t="n"/>
      <c r="Q259" s="20" t="n"/>
      <c r="R259" s="23" t="n"/>
      <c r="S259" s="23" t="n"/>
      <c r="T259" s="21" t="n"/>
      <c r="U259" s="21" t="n"/>
      <c r="V259" s="21" t="n"/>
      <c r="W259" s="21" t="n"/>
      <c r="X259" s="21" t="n"/>
      <c r="Y259" s="25">
        <f>IF($C259="","",IF(E259="XAUUSD",0.1,IF(ISNUMBER(SEARCH("JPY",E259)),0.01,0.0001)))</f>
        <v/>
      </c>
      <c r="Z259" s="18">
        <f>IF($C259="","",IF(F259="Sell",-1,1))</f>
        <v/>
      </c>
      <c r="AA259" s="18">
        <f>IF($C259="","",IF(E259="XAUUSD",100,100000))</f>
        <v/>
      </c>
      <c r="AB259" s="26">
        <f>IF(OR(K259="",L259=""),"",ABS(K259-L259)/Y259)</f>
        <v/>
      </c>
      <c r="AC259" s="26">
        <f>IF(OR(K259="",M259=""),"",ABS(M259-K259)/Y259)</f>
        <v/>
      </c>
      <c r="AD259" s="26">
        <f>IF(OR(K259="",O259=""),"",(O259-K259)*Z259/Y259)</f>
        <v/>
      </c>
      <c r="AE259" s="27">
        <f>IF(OR(AB259="",AB259=0,AC259=""),"",AC259/AB259)</f>
        <v/>
      </c>
      <c r="AF259" s="27">
        <f>IF(OR(AB259="",AB259=0,AD259=""),"",AD259/AB259)</f>
        <v/>
      </c>
      <c r="AG259" s="27">
        <f>IF(OR(C259="",P259=""),"",((P259+IF(Q259="",0,Q259))-(C259+IF(D259="",0,D259)))*24)</f>
        <v/>
      </c>
      <c r="AH259" s="18">
        <f>IF(AG259="","",INT(AG259/24)&amp;"d "&amp;INT(MOD(AG259,24))&amp;"h "&amp;INT(MOD(AG259*60,60))&amp;"m")</f>
        <v/>
      </c>
      <c r="AI259" s="28">
        <f>IF(OR(O259="",K259="",H259=""),"",IF(OR(E259="XAUUSD",RIGHT(E259,3)="USD"),(O259-K259)*Z259*AA259*H259,IF(LEFT(E259,3)="USD",IF(O259=0,"",(O259-K259)*Z259*AA259*H259/O259),AD259*10*H259)))</f>
        <v/>
      </c>
      <c r="AJ259" s="28">
        <f>IF(O259="","",IF(S259="",IF(AI259="",0,AI259),S259)-IF(R259="",0,R259))</f>
        <v/>
      </c>
      <c r="AK259" s="18">
        <f>IF(C259="","",IF(OR(O259="",P259=""),"Open",IF(ABS(AJ259)&lt;=BEThreshold,"BE",IF(AJ259&gt;0,"Win","Loss"))))</f>
        <v/>
      </c>
      <c r="AL259" s="28">
        <f>IF(OR(C259="",AK259="Open"),"",InitialCapital+SUMIFS($AJ$2:AJ259,$AK$2:AK259,"&lt;&gt;Open"))</f>
        <v/>
      </c>
      <c r="AM259" s="18">
        <f>IF(OR(C259="",AK259=""),"",IF(AK259="Open","No","Yes"))</f>
        <v/>
      </c>
    </row>
    <row r="260" ht="18" customHeight="1">
      <c r="A260" s="18">
        <f>IF(C260="","",COUNTA($C$2:C260))</f>
        <v/>
      </c>
      <c r="B260" s="18">
        <f>IF(C260="","",TEXT(C260,"dddd"))</f>
        <v/>
      </c>
      <c r="C260" s="19" t="n"/>
      <c r="D260" s="20" t="n"/>
      <c r="E260" s="21" t="n"/>
      <c r="F260" s="21" t="n"/>
      <c r="G260" s="21" t="n"/>
      <c r="H260" s="22" t="n"/>
      <c r="I260" s="23" t="n"/>
      <c r="J260" s="22" t="n"/>
      <c r="K260" s="24" t="n"/>
      <c r="L260" s="24" t="n"/>
      <c r="M260" s="24" t="n"/>
      <c r="N260" s="21" t="n"/>
      <c r="O260" s="24" t="n"/>
      <c r="P260" s="19" t="n"/>
      <c r="Q260" s="20" t="n"/>
      <c r="R260" s="23" t="n"/>
      <c r="S260" s="23" t="n"/>
      <c r="T260" s="21" t="n"/>
      <c r="U260" s="21" t="n"/>
      <c r="V260" s="21" t="n"/>
      <c r="W260" s="21" t="n"/>
      <c r="X260" s="21" t="n"/>
      <c r="Y260" s="25">
        <f>IF($C260="","",IF(E260="XAUUSD",0.1,IF(ISNUMBER(SEARCH("JPY",E260)),0.01,0.0001)))</f>
        <v/>
      </c>
      <c r="Z260" s="18">
        <f>IF($C260="","",IF(F260="Sell",-1,1))</f>
        <v/>
      </c>
      <c r="AA260" s="18">
        <f>IF($C260="","",IF(E260="XAUUSD",100,100000))</f>
        <v/>
      </c>
      <c r="AB260" s="26">
        <f>IF(OR(K260="",L260=""),"",ABS(K260-L260)/Y260)</f>
        <v/>
      </c>
      <c r="AC260" s="26">
        <f>IF(OR(K260="",M260=""),"",ABS(M260-K260)/Y260)</f>
        <v/>
      </c>
      <c r="AD260" s="26">
        <f>IF(OR(K260="",O260=""),"",(O260-K260)*Z260/Y260)</f>
        <v/>
      </c>
      <c r="AE260" s="27">
        <f>IF(OR(AB260="",AB260=0,AC260=""),"",AC260/AB260)</f>
        <v/>
      </c>
      <c r="AF260" s="27">
        <f>IF(OR(AB260="",AB260=0,AD260=""),"",AD260/AB260)</f>
        <v/>
      </c>
      <c r="AG260" s="27">
        <f>IF(OR(C260="",P260=""),"",((P260+IF(Q260="",0,Q260))-(C260+IF(D260="",0,D260)))*24)</f>
        <v/>
      </c>
      <c r="AH260" s="18">
        <f>IF(AG260="","",INT(AG260/24)&amp;"d "&amp;INT(MOD(AG260,24))&amp;"h "&amp;INT(MOD(AG260*60,60))&amp;"m")</f>
        <v/>
      </c>
      <c r="AI260" s="28">
        <f>IF(OR(O260="",K260="",H260=""),"",IF(OR(E260="XAUUSD",RIGHT(E260,3)="USD"),(O260-K260)*Z260*AA260*H260,IF(LEFT(E260,3)="USD",IF(O260=0,"",(O260-K260)*Z260*AA260*H260/O260),AD260*10*H260)))</f>
        <v/>
      </c>
      <c r="AJ260" s="28">
        <f>IF(O260="","",IF(S260="",IF(AI260="",0,AI260),S260)-IF(R260="",0,R260))</f>
        <v/>
      </c>
      <c r="AK260" s="18">
        <f>IF(C260="","",IF(OR(O260="",P260=""),"Open",IF(ABS(AJ260)&lt;=BEThreshold,"BE",IF(AJ260&gt;0,"Win","Loss"))))</f>
        <v/>
      </c>
      <c r="AL260" s="28">
        <f>IF(OR(C260="",AK260="Open"),"",InitialCapital+SUMIFS($AJ$2:AJ260,$AK$2:AK260,"&lt;&gt;Open"))</f>
        <v/>
      </c>
      <c r="AM260" s="18">
        <f>IF(OR(C260="",AK260=""),"",IF(AK260="Open","No","Yes"))</f>
        <v/>
      </c>
    </row>
    <row r="261" ht="18" customHeight="1">
      <c r="A261" s="18">
        <f>IF(C261="","",COUNTA($C$2:C261))</f>
        <v/>
      </c>
      <c r="B261" s="18">
        <f>IF(C261="","",TEXT(C261,"dddd"))</f>
        <v/>
      </c>
      <c r="C261" s="19" t="n"/>
      <c r="D261" s="20" t="n"/>
      <c r="E261" s="21" t="n"/>
      <c r="F261" s="21" t="n"/>
      <c r="G261" s="21" t="n"/>
      <c r="H261" s="22" t="n"/>
      <c r="I261" s="23" t="n"/>
      <c r="J261" s="22" t="n"/>
      <c r="K261" s="24" t="n"/>
      <c r="L261" s="24" t="n"/>
      <c r="M261" s="24" t="n"/>
      <c r="N261" s="21" t="n"/>
      <c r="O261" s="24" t="n"/>
      <c r="P261" s="19" t="n"/>
      <c r="Q261" s="20" t="n"/>
      <c r="R261" s="23" t="n"/>
      <c r="S261" s="23" t="n"/>
      <c r="T261" s="21" t="n"/>
      <c r="U261" s="21" t="n"/>
      <c r="V261" s="21" t="n"/>
      <c r="W261" s="21" t="n"/>
      <c r="X261" s="21" t="n"/>
      <c r="Y261" s="25">
        <f>IF($C261="","",IF(E261="XAUUSD",0.1,IF(ISNUMBER(SEARCH("JPY",E261)),0.01,0.0001)))</f>
        <v/>
      </c>
      <c r="Z261" s="18">
        <f>IF($C261="","",IF(F261="Sell",-1,1))</f>
        <v/>
      </c>
      <c r="AA261" s="18">
        <f>IF($C261="","",IF(E261="XAUUSD",100,100000))</f>
        <v/>
      </c>
      <c r="AB261" s="26">
        <f>IF(OR(K261="",L261=""),"",ABS(K261-L261)/Y261)</f>
        <v/>
      </c>
      <c r="AC261" s="26">
        <f>IF(OR(K261="",M261=""),"",ABS(M261-K261)/Y261)</f>
        <v/>
      </c>
      <c r="AD261" s="26">
        <f>IF(OR(K261="",O261=""),"",(O261-K261)*Z261/Y261)</f>
        <v/>
      </c>
      <c r="AE261" s="27">
        <f>IF(OR(AB261="",AB261=0,AC261=""),"",AC261/AB261)</f>
        <v/>
      </c>
      <c r="AF261" s="27">
        <f>IF(OR(AB261="",AB261=0,AD261=""),"",AD261/AB261)</f>
        <v/>
      </c>
      <c r="AG261" s="27">
        <f>IF(OR(C261="",P261=""),"",((P261+IF(Q261="",0,Q261))-(C261+IF(D261="",0,D261)))*24)</f>
        <v/>
      </c>
      <c r="AH261" s="18">
        <f>IF(AG261="","",INT(AG261/24)&amp;"d "&amp;INT(MOD(AG261,24))&amp;"h "&amp;INT(MOD(AG261*60,60))&amp;"m")</f>
        <v/>
      </c>
      <c r="AI261" s="28">
        <f>IF(OR(O261="",K261="",H261=""),"",IF(OR(E261="XAUUSD",RIGHT(E261,3)="USD"),(O261-K261)*Z261*AA261*H261,IF(LEFT(E261,3)="USD",IF(O261=0,"",(O261-K261)*Z261*AA261*H261/O261),AD261*10*H261)))</f>
        <v/>
      </c>
      <c r="AJ261" s="28">
        <f>IF(O261="","",IF(S261="",IF(AI261="",0,AI261),S261)-IF(R261="",0,R261))</f>
        <v/>
      </c>
      <c r="AK261" s="18">
        <f>IF(C261="","",IF(OR(O261="",P261=""),"Open",IF(ABS(AJ261)&lt;=BEThreshold,"BE",IF(AJ261&gt;0,"Win","Loss"))))</f>
        <v/>
      </c>
      <c r="AL261" s="28">
        <f>IF(OR(C261="",AK261="Open"),"",InitialCapital+SUMIFS($AJ$2:AJ261,$AK$2:AK261,"&lt;&gt;Open"))</f>
        <v/>
      </c>
      <c r="AM261" s="18">
        <f>IF(OR(C261="",AK261=""),"",IF(AK261="Open","No","Yes"))</f>
        <v/>
      </c>
    </row>
    <row r="262" ht="18" customHeight="1">
      <c r="A262" s="18">
        <f>IF(C262="","",COUNTA($C$2:C262))</f>
        <v/>
      </c>
      <c r="B262" s="18">
        <f>IF(C262="","",TEXT(C262,"dddd"))</f>
        <v/>
      </c>
      <c r="C262" s="19" t="n"/>
      <c r="D262" s="20" t="n"/>
      <c r="E262" s="21" t="n"/>
      <c r="F262" s="21" t="n"/>
      <c r="G262" s="21" t="n"/>
      <c r="H262" s="22" t="n"/>
      <c r="I262" s="23" t="n"/>
      <c r="J262" s="22" t="n"/>
      <c r="K262" s="24" t="n"/>
      <c r="L262" s="24" t="n"/>
      <c r="M262" s="24" t="n"/>
      <c r="N262" s="21" t="n"/>
      <c r="O262" s="24" t="n"/>
      <c r="P262" s="19" t="n"/>
      <c r="Q262" s="20" t="n"/>
      <c r="R262" s="23" t="n"/>
      <c r="S262" s="23" t="n"/>
      <c r="T262" s="21" t="n"/>
      <c r="U262" s="21" t="n"/>
      <c r="V262" s="21" t="n"/>
      <c r="W262" s="21" t="n"/>
      <c r="X262" s="21" t="n"/>
      <c r="Y262" s="25">
        <f>IF($C262="","",IF(E262="XAUUSD",0.1,IF(ISNUMBER(SEARCH("JPY",E262)),0.01,0.0001)))</f>
        <v/>
      </c>
      <c r="Z262" s="18">
        <f>IF($C262="","",IF(F262="Sell",-1,1))</f>
        <v/>
      </c>
      <c r="AA262" s="18">
        <f>IF($C262="","",IF(E262="XAUUSD",100,100000))</f>
        <v/>
      </c>
      <c r="AB262" s="26">
        <f>IF(OR(K262="",L262=""),"",ABS(K262-L262)/Y262)</f>
        <v/>
      </c>
      <c r="AC262" s="26">
        <f>IF(OR(K262="",M262=""),"",ABS(M262-K262)/Y262)</f>
        <v/>
      </c>
      <c r="AD262" s="26">
        <f>IF(OR(K262="",O262=""),"",(O262-K262)*Z262/Y262)</f>
        <v/>
      </c>
      <c r="AE262" s="27">
        <f>IF(OR(AB262="",AB262=0,AC262=""),"",AC262/AB262)</f>
        <v/>
      </c>
      <c r="AF262" s="27">
        <f>IF(OR(AB262="",AB262=0,AD262=""),"",AD262/AB262)</f>
        <v/>
      </c>
      <c r="AG262" s="27">
        <f>IF(OR(C262="",P262=""),"",((P262+IF(Q262="",0,Q262))-(C262+IF(D262="",0,D262)))*24)</f>
        <v/>
      </c>
      <c r="AH262" s="18">
        <f>IF(AG262="","",INT(AG262/24)&amp;"d "&amp;INT(MOD(AG262,24))&amp;"h "&amp;INT(MOD(AG262*60,60))&amp;"m")</f>
        <v/>
      </c>
      <c r="AI262" s="28">
        <f>IF(OR(O262="",K262="",H262=""),"",IF(OR(E262="XAUUSD",RIGHT(E262,3)="USD"),(O262-K262)*Z262*AA262*H262,IF(LEFT(E262,3)="USD",IF(O262=0,"",(O262-K262)*Z262*AA262*H262/O262),AD262*10*H262)))</f>
        <v/>
      </c>
      <c r="AJ262" s="28">
        <f>IF(O262="","",IF(S262="",IF(AI262="",0,AI262),S262)-IF(R262="",0,R262))</f>
        <v/>
      </c>
      <c r="AK262" s="18">
        <f>IF(C262="","",IF(OR(O262="",P262=""),"Open",IF(ABS(AJ262)&lt;=BEThreshold,"BE",IF(AJ262&gt;0,"Win","Loss"))))</f>
        <v/>
      </c>
      <c r="AL262" s="28">
        <f>IF(OR(C262="",AK262="Open"),"",InitialCapital+SUMIFS($AJ$2:AJ262,$AK$2:AK262,"&lt;&gt;Open"))</f>
        <v/>
      </c>
      <c r="AM262" s="18">
        <f>IF(OR(C262="",AK262=""),"",IF(AK262="Open","No","Yes"))</f>
        <v/>
      </c>
    </row>
    <row r="263" ht="18" customHeight="1">
      <c r="A263" s="18">
        <f>IF(C263="","",COUNTA($C$2:C263))</f>
        <v/>
      </c>
      <c r="B263" s="18">
        <f>IF(C263="","",TEXT(C263,"dddd"))</f>
        <v/>
      </c>
      <c r="C263" s="19" t="n"/>
      <c r="D263" s="20" t="n"/>
      <c r="E263" s="21" t="n"/>
      <c r="F263" s="21" t="n"/>
      <c r="G263" s="21" t="n"/>
      <c r="H263" s="22" t="n"/>
      <c r="I263" s="23" t="n"/>
      <c r="J263" s="22" t="n"/>
      <c r="K263" s="24" t="n"/>
      <c r="L263" s="24" t="n"/>
      <c r="M263" s="24" t="n"/>
      <c r="N263" s="21" t="n"/>
      <c r="O263" s="24" t="n"/>
      <c r="P263" s="19" t="n"/>
      <c r="Q263" s="20" t="n"/>
      <c r="R263" s="23" t="n"/>
      <c r="S263" s="23" t="n"/>
      <c r="T263" s="21" t="n"/>
      <c r="U263" s="21" t="n"/>
      <c r="V263" s="21" t="n"/>
      <c r="W263" s="21" t="n"/>
      <c r="X263" s="21" t="n"/>
      <c r="Y263" s="25">
        <f>IF($C263="","",IF(E263="XAUUSD",0.1,IF(ISNUMBER(SEARCH("JPY",E263)),0.01,0.0001)))</f>
        <v/>
      </c>
      <c r="Z263" s="18">
        <f>IF($C263="","",IF(F263="Sell",-1,1))</f>
        <v/>
      </c>
      <c r="AA263" s="18">
        <f>IF($C263="","",IF(E263="XAUUSD",100,100000))</f>
        <v/>
      </c>
      <c r="AB263" s="26">
        <f>IF(OR(K263="",L263=""),"",ABS(K263-L263)/Y263)</f>
        <v/>
      </c>
      <c r="AC263" s="26">
        <f>IF(OR(K263="",M263=""),"",ABS(M263-K263)/Y263)</f>
        <v/>
      </c>
      <c r="AD263" s="26">
        <f>IF(OR(K263="",O263=""),"",(O263-K263)*Z263/Y263)</f>
        <v/>
      </c>
      <c r="AE263" s="27">
        <f>IF(OR(AB263="",AB263=0,AC263=""),"",AC263/AB263)</f>
        <v/>
      </c>
      <c r="AF263" s="27">
        <f>IF(OR(AB263="",AB263=0,AD263=""),"",AD263/AB263)</f>
        <v/>
      </c>
      <c r="AG263" s="27">
        <f>IF(OR(C263="",P263=""),"",((P263+IF(Q263="",0,Q263))-(C263+IF(D263="",0,D263)))*24)</f>
        <v/>
      </c>
      <c r="AH263" s="18">
        <f>IF(AG263="","",INT(AG263/24)&amp;"d "&amp;INT(MOD(AG263,24))&amp;"h "&amp;INT(MOD(AG263*60,60))&amp;"m")</f>
        <v/>
      </c>
      <c r="AI263" s="28">
        <f>IF(OR(O263="",K263="",H263=""),"",IF(OR(E263="XAUUSD",RIGHT(E263,3)="USD"),(O263-K263)*Z263*AA263*H263,IF(LEFT(E263,3)="USD",IF(O263=0,"",(O263-K263)*Z263*AA263*H263/O263),AD263*10*H263)))</f>
        <v/>
      </c>
      <c r="AJ263" s="28">
        <f>IF(O263="","",IF(S263="",IF(AI263="",0,AI263),S263)-IF(R263="",0,R263))</f>
        <v/>
      </c>
      <c r="AK263" s="18">
        <f>IF(C263="","",IF(OR(O263="",P263=""),"Open",IF(ABS(AJ263)&lt;=BEThreshold,"BE",IF(AJ263&gt;0,"Win","Loss"))))</f>
        <v/>
      </c>
      <c r="AL263" s="28">
        <f>IF(OR(C263="",AK263="Open"),"",InitialCapital+SUMIFS($AJ$2:AJ263,$AK$2:AK263,"&lt;&gt;Open"))</f>
        <v/>
      </c>
      <c r="AM263" s="18">
        <f>IF(OR(C263="",AK263=""),"",IF(AK263="Open","No","Yes"))</f>
        <v/>
      </c>
    </row>
    <row r="264" ht="18" customHeight="1">
      <c r="A264" s="18">
        <f>IF(C264="","",COUNTA($C$2:C264))</f>
        <v/>
      </c>
      <c r="B264" s="18">
        <f>IF(C264="","",TEXT(C264,"dddd"))</f>
        <v/>
      </c>
      <c r="C264" s="19" t="n"/>
      <c r="D264" s="20" t="n"/>
      <c r="E264" s="21" t="n"/>
      <c r="F264" s="21" t="n"/>
      <c r="G264" s="21" t="n"/>
      <c r="H264" s="22" t="n"/>
      <c r="I264" s="23" t="n"/>
      <c r="J264" s="22" t="n"/>
      <c r="K264" s="24" t="n"/>
      <c r="L264" s="24" t="n"/>
      <c r="M264" s="24" t="n"/>
      <c r="N264" s="21" t="n"/>
      <c r="O264" s="24" t="n"/>
      <c r="P264" s="19" t="n"/>
      <c r="Q264" s="20" t="n"/>
      <c r="R264" s="23" t="n"/>
      <c r="S264" s="23" t="n"/>
      <c r="T264" s="21" t="n"/>
      <c r="U264" s="21" t="n"/>
      <c r="V264" s="21" t="n"/>
      <c r="W264" s="21" t="n"/>
      <c r="X264" s="21" t="n"/>
      <c r="Y264" s="25">
        <f>IF($C264="","",IF(E264="XAUUSD",0.1,IF(ISNUMBER(SEARCH("JPY",E264)),0.01,0.0001)))</f>
        <v/>
      </c>
      <c r="Z264" s="18">
        <f>IF($C264="","",IF(F264="Sell",-1,1))</f>
        <v/>
      </c>
      <c r="AA264" s="18">
        <f>IF($C264="","",IF(E264="XAUUSD",100,100000))</f>
        <v/>
      </c>
      <c r="AB264" s="26">
        <f>IF(OR(K264="",L264=""),"",ABS(K264-L264)/Y264)</f>
        <v/>
      </c>
      <c r="AC264" s="26">
        <f>IF(OR(K264="",M264=""),"",ABS(M264-K264)/Y264)</f>
        <v/>
      </c>
      <c r="AD264" s="26">
        <f>IF(OR(K264="",O264=""),"",(O264-K264)*Z264/Y264)</f>
        <v/>
      </c>
      <c r="AE264" s="27">
        <f>IF(OR(AB264="",AB264=0,AC264=""),"",AC264/AB264)</f>
        <v/>
      </c>
      <c r="AF264" s="27">
        <f>IF(OR(AB264="",AB264=0,AD264=""),"",AD264/AB264)</f>
        <v/>
      </c>
      <c r="AG264" s="27">
        <f>IF(OR(C264="",P264=""),"",((P264+IF(Q264="",0,Q264))-(C264+IF(D264="",0,D264)))*24)</f>
        <v/>
      </c>
      <c r="AH264" s="18">
        <f>IF(AG264="","",INT(AG264/24)&amp;"d "&amp;INT(MOD(AG264,24))&amp;"h "&amp;INT(MOD(AG264*60,60))&amp;"m")</f>
        <v/>
      </c>
      <c r="AI264" s="28">
        <f>IF(OR(O264="",K264="",H264=""),"",IF(OR(E264="XAUUSD",RIGHT(E264,3)="USD"),(O264-K264)*Z264*AA264*H264,IF(LEFT(E264,3)="USD",IF(O264=0,"",(O264-K264)*Z264*AA264*H264/O264),AD264*10*H264)))</f>
        <v/>
      </c>
      <c r="AJ264" s="28">
        <f>IF(O264="","",IF(S264="",IF(AI264="",0,AI264),S264)-IF(R264="",0,R264))</f>
        <v/>
      </c>
      <c r="AK264" s="18">
        <f>IF(C264="","",IF(OR(O264="",P264=""),"Open",IF(ABS(AJ264)&lt;=BEThreshold,"BE",IF(AJ264&gt;0,"Win","Loss"))))</f>
        <v/>
      </c>
      <c r="AL264" s="28">
        <f>IF(OR(C264="",AK264="Open"),"",InitialCapital+SUMIFS($AJ$2:AJ264,$AK$2:AK264,"&lt;&gt;Open"))</f>
        <v/>
      </c>
      <c r="AM264" s="18">
        <f>IF(OR(C264="",AK264=""),"",IF(AK264="Open","No","Yes"))</f>
        <v/>
      </c>
    </row>
    <row r="265" ht="18" customHeight="1">
      <c r="A265" s="18">
        <f>IF(C265="","",COUNTA($C$2:C265))</f>
        <v/>
      </c>
      <c r="B265" s="18">
        <f>IF(C265="","",TEXT(C265,"dddd"))</f>
        <v/>
      </c>
      <c r="C265" s="19" t="n"/>
      <c r="D265" s="20" t="n"/>
      <c r="E265" s="21" t="n"/>
      <c r="F265" s="21" t="n"/>
      <c r="G265" s="21" t="n"/>
      <c r="H265" s="22" t="n"/>
      <c r="I265" s="23" t="n"/>
      <c r="J265" s="22" t="n"/>
      <c r="K265" s="24" t="n"/>
      <c r="L265" s="24" t="n"/>
      <c r="M265" s="24" t="n"/>
      <c r="N265" s="21" t="n"/>
      <c r="O265" s="24" t="n"/>
      <c r="P265" s="19" t="n"/>
      <c r="Q265" s="20" t="n"/>
      <c r="R265" s="23" t="n"/>
      <c r="S265" s="23" t="n"/>
      <c r="T265" s="21" t="n"/>
      <c r="U265" s="21" t="n"/>
      <c r="V265" s="21" t="n"/>
      <c r="W265" s="21" t="n"/>
      <c r="X265" s="21" t="n"/>
      <c r="Y265" s="25">
        <f>IF($C265="","",IF(E265="XAUUSD",0.1,IF(ISNUMBER(SEARCH("JPY",E265)),0.01,0.0001)))</f>
        <v/>
      </c>
      <c r="Z265" s="18">
        <f>IF($C265="","",IF(F265="Sell",-1,1))</f>
        <v/>
      </c>
      <c r="AA265" s="18">
        <f>IF($C265="","",IF(E265="XAUUSD",100,100000))</f>
        <v/>
      </c>
      <c r="AB265" s="26">
        <f>IF(OR(K265="",L265=""),"",ABS(K265-L265)/Y265)</f>
        <v/>
      </c>
      <c r="AC265" s="26">
        <f>IF(OR(K265="",M265=""),"",ABS(M265-K265)/Y265)</f>
        <v/>
      </c>
      <c r="AD265" s="26">
        <f>IF(OR(K265="",O265=""),"",(O265-K265)*Z265/Y265)</f>
        <v/>
      </c>
      <c r="AE265" s="27">
        <f>IF(OR(AB265="",AB265=0,AC265=""),"",AC265/AB265)</f>
        <v/>
      </c>
      <c r="AF265" s="27">
        <f>IF(OR(AB265="",AB265=0,AD265=""),"",AD265/AB265)</f>
        <v/>
      </c>
      <c r="AG265" s="27">
        <f>IF(OR(C265="",P265=""),"",((P265+IF(Q265="",0,Q265))-(C265+IF(D265="",0,D265)))*24)</f>
        <v/>
      </c>
      <c r="AH265" s="18">
        <f>IF(AG265="","",INT(AG265/24)&amp;"d "&amp;INT(MOD(AG265,24))&amp;"h "&amp;INT(MOD(AG265*60,60))&amp;"m")</f>
        <v/>
      </c>
      <c r="AI265" s="28">
        <f>IF(OR(O265="",K265="",H265=""),"",IF(OR(E265="XAUUSD",RIGHT(E265,3)="USD"),(O265-K265)*Z265*AA265*H265,IF(LEFT(E265,3)="USD",IF(O265=0,"",(O265-K265)*Z265*AA265*H265/O265),AD265*10*H265)))</f>
        <v/>
      </c>
      <c r="AJ265" s="28">
        <f>IF(O265="","",IF(S265="",IF(AI265="",0,AI265),S265)-IF(R265="",0,R265))</f>
        <v/>
      </c>
      <c r="AK265" s="18">
        <f>IF(C265="","",IF(OR(O265="",P265=""),"Open",IF(ABS(AJ265)&lt;=BEThreshold,"BE",IF(AJ265&gt;0,"Win","Loss"))))</f>
        <v/>
      </c>
      <c r="AL265" s="28">
        <f>IF(OR(C265="",AK265="Open"),"",InitialCapital+SUMIFS($AJ$2:AJ265,$AK$2:AK265,"&lt;&gt;Open"))</f>
        <v/>
      </c>
      <c r="AM265" s="18">
        <f>IF(OR(C265="",AK265=""),"",IF(AK265="Open","No","Yes"))</f>
        <v/>
      </c>
    </row>
    <row r="266" ht="18" customHeight="1">
      <c r="A266" s="18">
        <f>IF(C266="","",COUNTA($C$2:C266))</f>
        <v/>
      </c>
      <c r="B266" s="18">
        <f>IF(C266="","",TEXT(C266,"dddd"))</f>
        <v/>
      </c>
      <c r="C266" s="19" t="n"/>
      <c r="D266" s="20" t="n"/>
      <c r="E266" s="21" t="n"/>
      <c r="F266" s="21" t="n"/>
      <c r="G266" s="21" t="n"/>
      <c r="H266" s="22" t="n"/>
      <c r="I266" s="23" t="n"/>
      <c r="J266" s="22" t="n"/>
      <c r="K266" s="24" t="n"/>
      <c r="L266" s="24" t="n"/>
      <c r="M266" s="24" t="n"/>
      <c r="N266" s="21" t="n"/>
      <c r="O266" s="24" t="n"/>
      <c r="P266" s="19" t="n"/>
      <c r="Q266" s="20" t="n"/>
      <c r="R266" s="23" t="n"/>
      <c r="S266" s="23" t="n"/>
      <c r="T266" s="21" t="n"/>
      <c r="U266" s="21" t="n"/>
      <c r="V266" s="21" t="n"/>
      <c r="W266" s="21" t="n"/>
      <c r="X266" s="21" t="n"/>
      <c r="Y266" s="25">
        <f>IF($C266="","",IF(E266="XAUUSD",0.1,IF(ISNUMBER(SEARCH("JPY",E266)),0.01,0.0001)))</f>
        <v/>
      </c>
      <c r="Z266" s="18">
        <f>IF($C266="","",IF(F266="Sell",-1,1))</f>
        <v/>
      </c>
      <c r="AA266" s="18">
        <f>IF($C266="","",IF(E266="XAUUSD",100,100000))</f>
        <v/>
      </c>
      <c r="AB266" s="26">
        <f>IF(OR(K266="",L266=""),"",ABS(K266-L266)/Y266)</f>
        <v/>
      </c>
      <c r="AC266" s="26">
        <f>IF(OR(K266="",M266=""),"",ABS(M266-K266)/Y266)</f>
        <v/>
      </c>
      <c r="AD266" s="26">
        <f>IF(OR(K266="",O266=""),"",(O266-K266)*Z266/Y266)</f>
        <v/>
      </c>
      <c r="AE266" s="27">
        <f>IF(OR(AB266="",AB266=0,AC266=""),"",AC266/AB266)</f>
        <v/>
      </c>
      <c r="AF266" s="27">
        <f>IF(OR(AB266="",AB266=0,AD266=""),"",AD266/AB266)</f>
        <v/>
      </c>
      <c r="AG266" s="27">
        <f>IF(OR(C266="",P266=""),"",((P266+IF(Q266="",0,Q266))-(C266+IF(D266="",0,D266)))*24)</f>
        <v/>
      </c>
      <c r="AH266" s="18">
        <f>IF(AG266="","",INT(AG266/24)&amp;"d "&amp;INT(MOD(AG266,24))&amp;"h "&amp;INT(MOD(AG266*60,60))&amp;"m")</f>
        <v/>
      </c>
      <c r="AI266" s="28">
        <f>IF(OR(O266="",K266="",H266=""),"",IF(OR(E266="XAUUSD",RIGHT(E266,3)="USD"),(O266-K266)*Z266*AA266*H266,IF(LEFT(E266,3)="USD",IF(O266=0,"",(O266-K266)*Z266*AA266*H266/O266),AD266*10*H266)))</f>
        <v/>
      </c>
      <c r="AJ266" s="28">
        <f>IF(O266="","",IF(S266="",IF(AI266="",0,AI266),S266)-IF(R266="",0,R266))</f>
        <v/>
      </c>
      <c r="AK266" s="18">
        <f>IF(C266="","",IF(OR(O266="",P266=""),"Open",IF(ABS(AJ266)&lt;=BEThreshold,"BE",IF(AJ266&gt;0,"Win","Loss"))))</f>
        <v/>
      </c>
      <c r="AL266" s="28">
        <f>IF(OR(C266="",AK266="Open"),"",InitialCapital+SUMIFS($AJ$2:AJ266,$AK$2:AK266,"&lt;&gt;Open"))</f>
        <v/>
      </c>
      <c r="AM266" s="18">
        <f>IF(OR(C266="",AK266=""),"",IF(AK266="Open","No","Yes"))</f>
        <v/>
      </c>
    </row>
    <row r="267" ht="18" customHeight="1">
      <c r="A267" s="18">
        <f>IF(C267="","",COUNTA($C$2:C267))</f>
        <v/>
      </c>
      <c r="B267" s="18">
        <f>IF(C267="","",TEXT(C267,"dddd"))</f>
        <v/>
      </c>
      <c r="C267" s="19" t="n"/>
      <c r="D267" s="20" t="n"/>
      <c r="E267" s="21" t="n"/>
      <c r="F267" s="21" t="n"/>
      <c r="G267" s="21" t="n"/>
      <c r="H267" s="22" t="n"/>
      <c r="I267" s="23" t="n"/>
      <c r="J267" s="22" t="n"/>
      <c r="K267" s="24" t="n"/>
      <c r="L267" s="24" t="n"/>
      <c r="M267" s="24" t="n"/>
      <c r="N267" s="21" t="n"/>
      <c r="O267" s="24" t="n"/>
      <c r="P267" s="19" t="n"/>
      <c r="Q267" s="20" t="n"/>
      <c r="R267" s="23" t="n"/>
      <c r="S267" s="23" t="n"/>
      <c r="T267" s="21" t="n"/>
      <c r="U267" s="21" t="n"/>
      <c r="V267" s="21" t="n"/>
      <c r="W267" s="21" t="n"/>
      <c r="X267" s="21" t="n"/>
      <c r="Y267" s="25">
        <f>IF($C267="","",IF(E267="XAUUSD",0.1,IF(ISNUMBER(SEARCH("JPY",E267)),0.01,0.0001)))</f>
        <v/>
      </c>
      <c r="Z267" s="18">
        <f>IF($C267="","",IF(F267="Sell",-1,1))</f>
        <v/>
      </c>
      <c r="AA267" s="18">
        <f>IF($C267="","",IF(E267="XAUUSD",100,100000))</f>
        <v/>
      </c>
      <c r="AB267" s="26">
        <f>IF(OR(K267="",L267=""),"",ABS(K267-L267)/Y267)</f>
        <v/>
      </c>
      <c r="AC267" s="26">
        <f>IF(OR(K267="",M267=""),"",ABS(M267-K267)/Y267)</f>
        <v/>
      </c>
      <c r="AD267" s="26">
        <f>IF(OR(K267="",O267=""),"",(O267-K267)*Z267/Y267)</f>
        <v/>
      </c>
      <c r="AE267" s="27">
        <f>IF(OR(AB267="",AB267=0,AC267=""),"",AC267/AB267)</f>
        <v/>
      </c>
      <c r="AF267" s="27">
        <f>IF(OR(AB267="",AB267=0,AD267=""),"",AD267/AB267)</f>
        <v/>
      </c>
      <c r="AG267" s="27">
        <f>IF(OR(C267="",P267=""),"",((P267+IF(Q267="",0,Q267))-(C267+IF(D267="",0,D267)))*24)</f>
        <v/>
      </c>
      <c r="AH267" s="18">
        <f>IF(AG267="","",INT(AG267/24)&amp;"d "&amp;INT(MOD(AG267,24))&amp;"h "&amp;INT(MOD(AG267*60,60))&amp;"m")</f>
        <v/>
      </c>
      <c r="AI267" s="28">
        <f>IF(OR(O267="",K267="",H267=""),"",IF(OR(E267="XAUUSD",RIGHT(E267,3)="USD"),(O267-K267)*Z267*AA267*H267,IF(LEFT(E267,3)="USD",IF(O267=0,"",(O267-K267)*Z267*AA267*H267/O267),AD267*10*H267)))</f>
        <v/>
      </c>
      <c r="AJ267" s="28">
        <f>IF(O267="","",IF(S267="",IF(AI267="",0,AI267),S267)-IF(R267="",0,R267))</f>
        <v/>
      </c>
      <c r="AK267" s="18">
        <f>IF(C267="","",IF(OR(O267="",P267=""),"Open",IF(ABS(AJ267)&lt;=BEThreshold,"BE",IF(AJ267&gt;0,"Win","Loss"))))</f>
        <v/>
      </c>
      <c r="AL267" s="28">
        <f>IF(OR(C267="",AK267="Open"),"",InitialCapital+SUMIFS($AJ$2:AJ267,$AK$2:AK267,"&lt;&gt;Open"))</f>
        <v/>
      </c>
      <c r="AM267" s="18">
        <f>IF(OR(C267="",AK267=""),"",IF(AK267="Open","No","Yes"))</f>
        <v/>
      </c>
    </row>
    <row r="268" ht="18" customHeight="1">
      <c r="A268" s="18">
        <f>IF(C268="","",COUNTA($C$2:C268))</f>
        <v/>
      </c>
      <c r="B268" s="18">
        <f>IF(C268="","",TEXT(C268,"dddd"))</f>
        <v/>
      </c>
      <c r="C268" s="19" t="n"/>
      <c r="D268" s="20" t="n"/>
      <c r="E268" s="21" t="n"/>
      <c r="F268" s="21" t="n"/>
      <c r="G268" s="21" t="n"/>
      <c r="H268" s="22" t="n"/>
      <c r="I268" s="23" t="n"/>
      <c r="J268" s="22" t="n"/>
      <c r="K268" s="24" t="n"/>
      <c r="L268" s="24" t="n"/>
      <c r="M268" s="24" t="n"/>
      <c r="N268" s="21" t="n"/>
      <c r="O268" s="24" t="n"/>
      <c r="P268" s="19" t="n"/>
      <c r="Q268" s="20" t="n"/>
      <c r="R268" s="23" t="n"/>
      <c r="S268" s="23" t="n"/>
      <c r="T268" s="21" t="n"/>
      <c r="U268" s="21" t="n"/>
      <c r="V268" s="21" t="n"/>
      <c r="W268" s="21" t="n"/>
      <c r="X268" s="21" t="n"/>
      <c r="Y268" s="25">
        <f>IF($C268="","",IF(E268="XAUUSD",0.1,IF(ISNUMBER(SEARCH("JPY",E268)),0.01,0.0001)))</f>
        <v/>
      </c>
      <c r="Z268" s="18">
        <f>IF($C268="","",IF(F268="Sell",-1,1))</f>
        <v/>
      </c>
      <c r="AA268" s="18">
        <f>IF($C268="","",IF(E268="XAUUSD",100,100000))</f>
        <v/>
      </c>
      <c r="AB268" s="26">
        <f>IF(OR(K268="",L268=""),"",ABS(K268-L268)/Y268)</f>
        <v/>
      </c>
      <c r="AC268" s="26">
        <f>IF(OR(K268="",M268=""),"",ABS(M268-K268)/Y268)</f>
        <v/>
      </c>
      <c r="AD268" s="26">
        <f>IF(OR(K268="",O268=""),"",(O268-K268)*Z268/Y268)</f>
        <v/>
      </c>
      <c r="AE268" s="27">
        <f>IF(OR(AB268="",AB268=0,AC268=""),"",AC268/AB268)</f>
        <v/>
      </c>
      <c r="AF268" s="27">
        <f>IF(OR(AB268="",AB268=0,AD268=""),"",AD268/AB268)</f>
        <v/>
      </c>
      <c r="AG268" s="27">
        <f>IF(OR(C268="",P268=""),"",((P268+IF(Q268="",0,Q268))-(C268+IF(D268="",0,D268)))*24)</f>
        <v/>
      </c>
      <c r="AH268" s="18">
        <f>IF(AG268="","",INT(AG268/24)&amp;"d "&amp;INT(MOD(AG268,24))&amp;"h "&amp;INT(MOD(AG268*60,60))&amp;"m")</f>
        <v/>
      </c>
      <c r="AI268" s="28">
        <f>IF(OR(O268="",K268="",H268=""),"",IF(OR(E268="XAUUSD",RIGHT(E268,3)="USD"),(O268-K268)*Z268*AA268*H268,IF(LEFT(E268,3)="USD",IF(O268=0,"",(O268-K268)*Z268*AA268*H268/O268),AD268*10*H268)))</f>
        <v/>
      </c>
      <c r="AJ268" s="28">
        <f>IF(O268="","",IF(S268="",IF(AI268="",0,AI268),S268)-IF(R268="",0,R268))</f>
        <v/>
      </c>
      <c r="AK268" s="18">
        <f>IF(C268="","",IF(OR(O268="",P268=""),"Open",IF(ABS(AJ268)&lt;=BEThreshold,"BE",IF(AJ268&gt;0,"Win","Loss"))))</f>
        <v/>
      </c>
      <c r="AL268" s="28">
        <f>IF(OR(C268="",AK268="Open"),"",InitialCapital+SUMIFS($AJ$2:AJ268,$AK$2:AK268,"&lt;&gt;Open"))</f>
        <v/>
      </c>
      <c r="AM268" s="18">
        <f>IF(OR(C268="",AK268=""),"",IF(AK268="Open","No","Yes"))</f>
        <v/>
      </c>
    </row>
    <row r="269" ht="18" customHeight="1">
      <c r="A269" s="18">
        <f>IF(C269="","",COUNTA($C$2:C269))</f>
        <v/>
      </c>
      <c r="B269" s="18">
        <f>IF(C269="","",TEXT(C269,"dddd"))</f>
        <v/>
      </c>
      <c r="C269" s="19" t="n"/>
      <c r="D269" s="20" t="n"/>
      <c r="E269" s="21" t="n"/>
      <c r="F269" s="21" t="n"/>
      <c r="G269" s="21" t="n"/>
      <c r="H269" s="22" t="n"/>
      <c r="I269" s="23" t="n"/>
      <c r="J269" s="22" t="n"/>
      <c r="K269" s="24" t="n"/>
      <c r="L269" s="24" t="n"/>
      <c r="M269" s="24" t="n"/>
      <c r="N269" s="21" t="n"/>
      <c r="O269" s="24" t="n"/>
      <c r="P269" s="19" t="n"/>
      <c r="Q269" s="20" t="n"/>
      <c r="R269" s="23" t="n"/>
      <c r="S269" s="23" t="n"/>
      <c r="T269" s="21" t="n"/>
      <c r="U269" s="21" t="n"/>
      <c r="V269" s="21" t="n"/>
      <c r="W269" s="21" t="n"/>
      <c r="X269" s="21" t="n"/>
      <c r="Y269" s="25">
        <f>IF($C269="","",IF(E269="XAUUSD",0.1,IF(ISNUMBER(SEARCH("JPY",E269)),0.01,0.0001)))</f>
        <v/>
      </c>
      <c r="Z269" s="18">
        <f>IF($C269="","",IF(F269="Sell",-1,1))</f>
        <v/>
      </c>
      <c r="AA269" s="18">
        <f>IF($C269="","",IF(E269="XAUUSD",100,100000))</f>
        <v/>
      </c>
      <c r="AB269" s="26">
        <f>IF(OR(K269="",L269=""),"",ABS(K269-L269)/Y269)</f>
        <v/>
      </c>
      <c r="AC269" s="26">
        <f>IF(OR(K269="",M269=""),"",ABS(M269-K269)/Y269)</f>
        <v/>
      </c>
      <c r="AD269" s="26">
        <f>IF(OR(K269="",O269=""),"",(O269-K269)*Z269/Y269)</f>
        <v/>
      </c>
      <c r="AE269" s="27">
        <f>IF(OR(AB269="",AB269=0,AC269=""),"",AC269/AB269)</f>
        <v/>
      </c>
      <c r="AF269" s="27">
        <f>IF(OR(AB269="",AB269=0,AD269=""),"",AD269/AB269)</f>
        <v/>
      </c>
      <c r="AG269" s="27">
        <f>IF(OR(C269="",P269=""),"",((P269+IF(Q269="",0,Q269))-(C269+IF(D269="",0,D269)))*24)</f>
        <v/>
      </c>
      <c r="AH269" s="18">
        <f>IF(AG269="","",INT(AG269/24)&amp;"d "&amp;INT(MOD(AG269,24))&amp;"h "&amp;INT(MOD(AG269*60,60))&amp;"m")</f>
        <v/>
      </c>
      <c r="AI269" s="28">
        <f>IF(OR(O269="",K269="",H269=""),"",IF(OR(E269="XAUUSD",RIGHT(E269,3)="USD"),(O269-K269)*Z269*AA269*H269,IF(LEFT(E269,3)="USD",IF(O269=0,"",(O269-K269)*Z269*AA269*H269/O269),AD269*10*H269)))</f>
        <v/>
      </c>
      <c r="AJ269" s="28">
        <f>IF(O269="","",IF(S269="",IF(AI269="",0,AI269),S269)-IF(R269="",0,R269))</f>
        <v/>
      </c>
      <c r="AK269" s="18">
        <f>IF(C269="","",IF(OR(O269="",P269=""),"Open",IF(ABS(AJ269)&lt;=BEThreshold,"BE",IF(AJ269&gt;0,"Win","Loss"))))</f>
        <v/>
      </c>
      <c r="AL269" s="28">
        <f>IF(OR(C269="",AK269="Open"),"",InitialCapital+SUMIFS($AJ$2:AJ269,$AK$2:AK269,"&lt;&gt;Open"))</f>
        <v/>
      </c>
      <c r="AM269" s="18">
        <f>IF(OR(C269="",AK269=""),"",IF(AK269="Open","No","Yes"))</f>
        <v/>
      </c>
    </row>
    <row r="270" ht="18" customHeight="1">
      <c r="A270" s="18">
        <f>IF(C270="","",COUNTA($C$2:C270))</f>
        <v/>
      </c>
      <c r="B270" s="18">
        <f>IF(C270="","",TEXT(C270,"dddd"))</f>
        <v/>
      </c>
      <c r="C270" s="19" t="n"/>
      <c r="D270" s="20" t="n"/>
      <c r="E270" s="21" t="n"/>
      <c r="F270" s="21" t="n"/>
      <c r="G270" s="21" t="n"/>
      <c r="H270" s="22" t="n"/>
      <c r="I270" s="23" t="n"/>
      <c r="J270" s="22" t="n"/>
      <c r="K270" s="24" t="n"/>
      <c r="L270" s="24" t="n"/>
      <c r="M270" s="24" t="n"/>
      <c r="N270" s="21" t="n"/>
      <c r="O270" s="24" t="n"/>
      <c r="P270" s="19" t="n"/>
      <c r="Q270" s="20" t="n"/>
      <c r="R270" s="23" t="n"/>
      <c r="S270" s="23" t="n"/>
      <c r="T270" s="21" t="n"/>
      <c r="U270" s="21" t="n"/>
      <c r="V270" s="21" t="n"/>
      <c r="W270" s="21" t="n"/>
      <c r="X270" s="21" t="n"/>
      <c r="Y270" s="25">
        <f>IF($C270="","",IF(E270="XAUUSD",0.1,IF(ISNUMBER(SEARCH("JPY",E270)),0.01,0.0001)))</f>
        <v/>
      </c>
      <c r="Z270" s="18">
        <f>IF($C270="","",IF(F270="Sell",-1,1))</f>
        <v/>
      </c>
      <c r="AA270" s="18">
        <f>IF($C270="","",IF(E270="XAUUSD",100,100000))</f>
        <v/>
      </c>
      <c r="AB270" s="26">
        <f>IF(OR(K270="",L270=""),"",ABS(K270-L270)/Y270)</f>
        <v/>
      </c>
      <c r="AC270" s="26">
        <f>IF(OR(K270="",M270=""),"",ABS(M270-K270)/Y270)</f>
        <v/>
      </c>
      <c r="AD270" s="26">
        <f>IF(OR(K270="",O270=""),"",(O270-K270)*Z270/Y270)</f>
        <v/>
      </c>
      <c r="AE270" s="27">
        <f>IF(OR(AB270="",AB270=0,AC270=""),"",AC270/AB270)</f>
        <v/>
      </c>
      <c r="AF270" s="27">
        <f>IF(OR(AB270="",AB270=0,AD270=""),"",AD270/AB270)</f>
        <v/>
      </c>
      <c r="AG270" s="27">
        <f>IF(OR(C270="",P270=""),"",((P270+IF(Q270="",0,Q270))-(C270+IF(D270="",0,D270)))*24)</f>
        <v/>
      </c>
      <c r="AH270" s="18">
        <f>IF(AG270="","",INT(AG270/24)&amp;"d "&amp;INT(MOD(AG270,24))&amp;"h "&amp;INT(MOD(AG270*60,60))&amp;"m")</f>
        <v/>
      </c>
      <c r="AI270" s="28">
        <f>IF(OR(O270="",K270="",H270=""),"",IF(OR(E270="XAUUSD",RIGHT(E270,3)="USD"),(O270-K270)*Z270*AA270*H270,IF(LEFT(E270,3)="USD",IF(O270=0,"",(O270-K270)*Z270*AA270*H270/O270),AD270*10*H270)))</f>
        <v/>
      </c>
      <c r="AJ270" s="28">
        <f>IF(O270="","",IF(S270="",IF(AI270="",0,AI270),S270)-IF(R270="",0,R270))</f>
        <v/>
      </c>
      <c r="AK270" s="18">
        <f>IF(C270="","",IF(OR(O270="",P270=""),"Open",IF(ABS(AJ270)&lt;=BEThreshold,"BE",IF(AJ270&gt;0,"Win","Loss"))))</f>
        <v/>
      </c>
      <c r="AL270" s="28">
        <f>IF(OR(C270="",AK270="Open"),"",InitialCapital+SUMIFS($AJ$2:AJ270,$AK$2:AK270,"&lt;&gt;Open"))</f>
        <v/>
      </c>
      <c r="AM270" s="18">
        <f>IF(OR(C270="",AK270=""),"",IF(AK270="Open","No","Yes"))</f>
        <v/>
      </c>
    </row>
    <row r="271" ht="18" customHeight="1">
      <c r="A271" s="18">
        <f>IF(C271="","",COUNTA($C$2:C271))</f>
        <v/>
      </c>
      <c r="B271" s="18">
        <f>IF(C271="","",TEXT(C271,"dddd"))</f>
        <v/>
      </c>
      <c r="C271" s="19" t="n"/>
      <c r="D271" s="20" t="n"/>
      <c r="E271" s="21" t="n"/>
      <c r="F271" s="21" t="n"/>
      <c r="G271" s="21" t="n"/>
      <c r="H271" s="22" t="n"/>
      <c r="I271" s="23" t="n"/>
      <c r="J271" s="22" t="n"/>
      <c r="K271" s="24" t="n"/>
      <c r="L271" s="24" t="n"/>
      <c r="M271" s="24" t="n"/>
      <c r="N271" s="21" t="n"/>
      <c r="O271" s="24" t="n"/>
      <c r="P271" s="19" t="n"/>
      <c r="Q271" s="20" t="n"/>
      <c r="R271" s="23" t="n"/>
      <c r="S271" s="23" t="n"/>
      <c r="T271" s="21" t="n"/>
      <c r="U271" s="21" t="n"/>
      <c r="V271" s="21" t="n"/>
      <c r="W271" s="21" t="n"/>
      <c r="X271" s="21" t="n"/>
      <c r="Y271" s="25">
        <f>IF($C271="","",IF(E271="XAUUSD",0.1,IF(ISNUMBER(SEARCH("JPY",E271)),0.01,0.0001)))</f>
        <v/>
      </c>
      <c r="Z271" s="18">
        <f>IF($C271="","",IF(F271="Sell",-1,1))</f>
        <v/>
      </c>
      <c r="AA271" s="18">
        <f>IF($C271="","",IF(E271="XAUUSD",100,100000))</f>
        <v/>
      </c>
      <c r="AB271" s="26">
        <f>IF(OR(K271="",L271=""),"",ABS(K271-L271)/Y271)</f>
        <v/>
      </c>
      <c r="AC271" s="26">
        <f>IF(OR(K271="",M271=""),"",ABS(M271-K271)/Y271)</f>
        <v/>
      </c>
      <c r="AD271" s="26">
        <f>IF(OR(K271="",O271=""),"",(O271-K271)*Z271/Y271)</f>
        <v/>
      </c>
      <c r="AE271" s="27">
        <f>IF(OR(AB271="",AB271=0,AC271=""),"",AC271/AB271)</f>
        <v/>
      </c>
      <c r="AF271" s="27">
        <f>IF(OR(AB271="",AB271=0,AD271=""),"",AD271/AB271)</f>
        <v/>
      </c>
      <c r="AG271" s="27">
        <f>IF(OR(C271="",P271=""),"",((P271+IF(Q271="",0,Q271))-(C271+IF(D271="",0,D271)))*24)</f>
        <v/>
      </c>
      <c r="AH271" s="18">
        <f>IF(AG271="","",INT(AG271/24)&amp;"d "&amp;INT(MOD(AG271,24))&amp;"h "&amp;INT(MOD(AG271*60,60))&amp;"m")</f>
        <v/>
      </c>
      <c r="AI271" s="28">
        <f>IF(OR(O271="",K271="",H271=""),"",IF(OR(E271="XAUUSD",RIGHT(E271,3)="USD"),(O271-K271)*Z271*AA271*H271,IF(LEFT(E271,3)="USD",IF(O271=0,"",(O271-K271)*Z271*AA271*H271/O271),AD271*10*H271)))</f>
        <v/>
      </c>
      <c r="AJ271" s="28">
        <f>IF(O271="","",IF(S271="",IF(AI271="",0,AI271),S271)-IF(R271="",0,R271))</f>
        <v/>
      </c>
      <c r="AK271" s="18">
        <f>IF(C271="","",IF(OR(O271="",P271=""),"Open",IF(ABS(AJ271)&lt;=BEThreshold,"BE",IF(AJ271&gt;0,"Win","Loss"))))</f>
        <v/>
      </c>
      <c r="AL271" s="28">
        <f>IF(OR(C271="",AK271="Open"),"",InitialCapital+SUMIFS($AJ$2:AJ271,$AK$2:AK271,"&lt;&gt;Open"))</f>
        <v/>
      </c>
      <c r="AM271" s="18">
        <f>IF(OR(C271="",AK271=""),"",IF(AK271="Open","No","Yes"))</f>
        <v/>
      </c>
    </row>
    <row r="272" ht="18" customHeight="1">
      <c r="A272" s="18">
        <f>IF(C272="","",COUNTA($C$2:C272))</f>
        <v/>
      </c>
      <c r="B272" s="18">
        <f>IF(C272="","",TEXT(C272,"dddd"))</f>
        <v/>
      </c>
      <c r="C272" s="19" t="n"/>
      <c r="D272" s="20" t="n"/>
      <c r="E272" s="21" t="n"/>
      <c r="F272" s="21" t="n"/>
      <c r="G272" s="21" t="n"/>
      <c r="H272" s="22" t="n"/>
      <c r="I272" s="23" t="n"/>
      <c r="J272" s="22" t="n"/>
      <c r="K272" s="24" t="n"/>
      <c r="L272" s="24" t="n"/>
      <c r="M272" s="24" t="n"/>
      <c r="N272" s="21" t="n"/>
      <c r="O272" s="24" t="n"/>
      <c r="P272" s="19" t="n"/>
      <c r="Q272" s="20" t="n"/>
      <c r="R272" s="23" t="n"/>
      <c r="S272" s="23" t="n"/>
      <c r="T272" s="21" t="n"/>
      <c r="U272" s="21" t="n"/>
      <c r="V272" s="21" t="n"/>
      <c r="W272" s="21" t="n"/>
      <c r="X272" s="21" t="n"/>
      <c r="Y272" s="25">
        <f>IF($C272="","",IF(E272="XAUUSD",0.1,IF(ISNUMBER(SEARCH("JPY",E272)),0.01,0.0001)))</f>
        <v/>
      </c>
      <c r="Z272" s="18">
        <f>IF($C272="","",IF(F272="Sell",-1,1))</f>
        <v/>
      </c>
      <c r="AA272" s="18">
        <f>IF($C272="","",IF(E272="XAUUSD",100,100000))</f>
        <v/>
      </c>
      <c r="AB272" s="26">
        <f>IF(OR(K272="",L272=""),"",ABS(K272-L272)/Y272)</f>
        <v/>
      </c>
      <c r="AC272" s="26">
        <f>IF(OR(K272="",M272=""),"",ABS(M272-K272)/Y272)</f>
        <v/>
      </c>
      <c r="AD272" s="26">
        <f>IF(OR(K272="",O272=""),"",(O272-K272)*Z272/Y272)</f>
        <v/>
      </c>
      <c r="AE272" s="27">
        <f>IF(OR(AB272="",AB272=0,AC272=""),"",AC272/AB272)</f>
        <v/>
      </c>
      <c r="AF272" s="27">
        <f>IF(OR(AB272="",AB272=0,AD272=""),"",AD272/AB272)</f>
        <v/>
      </c>
      <c r="AG272" s="27">
        <f>IF(OR(C272="",P272=""),"",((P272+IF(Q272="",0,Q272))-(C272+IF(D272="",0,D272)))*24)</f>
        <v/>
      </c>
      <c r="AH272" s="18">
        <f>IF(AG272="","",INT(AG272/24)&amp;"d "&amp;INT(MOD(AG272,24))&amp;"h "&amp;INT(MOD(AG272*60,60))&amp;"m")</f>
        <v/>
      </c>
      <c r="AI272" s="28">
        <f>IF(OR(O272="",K272="",H272=""),"",IF(OR(E272="XAUUSD",RIGHT(E272,3)="USD"),(O272-K272)*Z272*AA272*H272,IF(LEFT(E272,3)="USD",IF(O272=0,"",(O272-K272)*Z272*AA272*H272/O272),AD272*10*H272)))</f>
        <v/>
      </c>
      <c r="AJ272" s="28">
        <f>IF(O272="","",IF(S272="",IF(AI272="",0,AI272),S272)-IF(R272="",0,R272))</f>
        <v/>
      </c>
      <c r="AK272" s="18">
        <f>IF(C272="","",IF(OR(O272="",P272=""),"Open",IF(ABS(AJ272)&lt;=BEThreshold,"BE",IF(AJ272&gt;0,"Win","Loss"))))</f>
        <v/>
      </c>
      <c r="AL272" s="28">
        <f>IF(OR(C272="",AK272="Open"),"",InitialCapital+SUMIFS($AJ$2:AJ272,$AK$2:AK272,"&lt;&gt;Open"))</f>
        <v/>
      </c>
      <c r="AM272" s="18">
        <f>IF(OR(C272="",AK272=""),"",IF(AK272="Open","No","Yes"))</f>
        <v/>
      </c>
    </row>
    <row r="273" ht="18" customHeight="1">
      <c r="A273" s="18">
        <f>IF(C273="","",COUNTA($C$2:C273))</f>
        <v/>
      </c>
      <c r="B273" s="18">
        <f>IF(C273="","",TEXT(C273,"dddd"))</f>
        <v/>
      </c>
      <c r="C273" s="19" t="n"/>
      <c r="D273" s="20" t="n"/>
      <c r="E273" s="21" t="n"/>
      <c r="F273" s="21" t="n"/>
      <c r="G273" s="21" t="n"/>
      <c r="H273" s="22" t="n"/>
      <c r="I273" s="23" t="n"/>
      <c r="J273" s="22" t="n"/>
      <c r="K273" s="24" t="n"/>
      <c r="L273" s="24" t="n"/>
      <c r="M273" s="24" t="n"/>
      <c r="N273" s="21" t="n"/>
      <c r="O273" s="24" t="n"/>
      <c r="P273" s="19" t="n"/>
      <c r="Q273" s="20" t="n"/>
      <c r="R273" s="23" t="n"/>
      <c r="S273" s="23" t="n"/>
      <c r="T273" s="21" t="n"/>
      <c r="U273" s="21" t="n"/>
      <c r="V273" s="21" t="n"/>
      <c r="W273" s="21" t="n"/>
      <c r="X273" s="21" t="n"/>
      <c r="Y273" s="25">
        <f>IF($C273="","",IF(E273="XAUUSD",0.1,IF(ISNUMBER(SEARCH("JPY",E273)),0.01,0.0001)))</f>
        <v/>
      </c>
      <c r="Z273" s="18">
        <f>IF($C273="","",IF(F273="Sell",-1,1))</f>
        <v/>
      </c>
      <c r="AA273" s="18">
        <f>IF($C273="","",IF(E273="XAUUSD",100,100000))</f>
        <v/>
      </c>
      <c r="AB273" s="26">
        <f>IF(OR(K273="",L273=""),"",ABS(K273-L273)/Y273)</f>
        <v/>
      </c>
      <c r="AC273" s="26">
        <f>IF(OR(K273="",M273=""),"",ABS(M273-K273)/Y273)</f>
        <v/>
      </c>
      <c r="AD273" s="26">
        <f>IF(OR(K273="",O273=""),"",(O273-K273)*Z273/Y273)</f>
        <v/>
      </c>
      <c r="AE273" s="27">
        <f>IF(OR(AB273="",AB273=0,AC273=""),"",AC273/AB273)</f>
        <v/>
      </c>
      <c r="AF273" s="27">
        <f>IF(OR(AB273="",AB273=0,AD273=""),"",AD273/AB273)</f>
        <v/>
      </c>
      <c r="AG273" s="27">
        <f>IF(OR(C273="",P273=""),"",((P273+IF(Q273="",0,Q273))-(C273+IF(D273="",0,D273)))*24)</f>
        <v/>
      </c>
      <c r="AH273" s="18">
        <f>IF(AG273="","",INT(AG273/24)&amp;"d "&amp;INT(MOD(AG273,24))&amp;"h "&amp;INT(MOD(AG273*60,60))&amp;"m")</f>
        <v/>
      </c>
      <c r="AI273" s="28">
        <f>IF(OR(O273="",K273="",H273=""),"",IF(OR(E273="XAUUSD",RIGHT(E273,3)="USD"),(O273-K273)*Z273*AA273*H273,IF(LEFT(E273,3)="USD",IF(O273=0,"",(O273-K273)*Z273*AA273*H273/O273),AD273*10*H273)))</f>
        <v/>
      </c>
      <c r="AJ273" s="28">
        <f>IF(O273="","",IF(S273="",IF(AI273="",0,AI273),S273)-IF(R273="",0,R273))</f>
        <v/>
      </c>
      <c r="AK273" s="18">
        <f>IF(C273="","",IF(OR(O273="",P273=""),"Open",IF(ABS(AJ273)&lt;=BEThreshold,"BE",IF(AJ273&gt;0,"Win","Loss"))))</f>
        <v/>
      </c>
      <c r="AL273" s="28">
        <f>IF(OR(C273="",AK273="Open"),"",InitialCapital+SUMIFS($AJ$2:AJ273,$AK$2:AK273,"&lt;&gt;Open"))</f>
        <v/>
      </c>
      <c r="AM273" s="18">
        <f>IF(OR(C273="",AK273=""),"",IF(AK273="Open","No","Yes"))</f>
        <v/>
      </c>
    </row>
    <row r="274" ht="18" customHeight="1">
      <c r="A274" s="18">
        <f>IF(C274="","",COUNTA($C$2:C274))</f>
        <v/>
      </c>
      <c r="B274" s="18">
        <f>IF(C274="","",TEXT(C274,"dddd"))</f>
        <v/>
      </c>
      <c r="C274" s="19" t="n"/>
      <c r="D274" s="20" t="n"/>
      <c r="E274" s="21" t="n"/>
      <c r="F274" s="21" t="n"/>
      <c r="G274" s="21" t="n"/>
      <c r="H274" s="22" t="n"/>
      <c r="I274" s="23" t="n"/>
      <c r="J274" s="22" t="n"/>
      <c r="K274" s="24" t="n"/>
      <c r="L274" s="24" t="n"/>
      <c r="M274" s="24" t="n"/>
      <c r="N274" s="21" t="n"/>
      <c r="O274" s="24" t="n"/>
      <c r="P274" s="19" t="n"/>
      <c r="Q274" s="20" t="n"/>
      <c r="R274" s="23" t="n"/>
      <c r="S274" s="23" t="n"/>
      <c r="T274" s="21" t="n"/>
      <c r="U274" s="21" t="n"/>
      <c r="V274" s="21" t="n"/>
      <c r="W274" s="21" t="n"/>
      <c r="X274" s="21" t="n"/>
      <c r="Y274" s="25">
        <f>IF($C274="","",IF(E274="XAUUSD",0.1,IF(ISNUMBER(SEARCH("JPY",E274)),0.01,0.0001)))</f>
        <v/>
      </c>
      <c r="Z274" s="18">
        <f>IF($C274="","",IF(F274="Sell",-1,1))</f>
        <v/>
      </c>
      <c r="AA274" s="18">
        <f>IF($C274="","",IF(E274="XAUUSD",100,100000))</f>
        <v/>
      </c>
      <c r="AB274" s="26">
        <f>IF(OR(K274="",L274=""),"",ABS(K274-L274)/Y274)</f>
        <v/>
      </c>
      <c r="AC274" s="26">
        <f>IF(OR(K274="",M274=""),"",ABS(M274-K274)/Y274)</f>
        <v/>
      </c>
      <c r="AD274" s="26">
        <f>IF(OR(K274="",O274=""),"",(O274-K274)*Z274/Y274)</f>
        <v/>
      </c>
      <c r="AE274" s="27">
        <f>IF(OR(AB274="",AB274=0,AC274=""),"",AC274/AB274)</f>
        <v/>
      </c>
      <c r="AF274" s="27">
        <f>IF(OR(AB274="",AB274=0,AD274=""),"",AD274/AB274)</f>
        <v/>
      </c>
      <c r="AG274" s="27">
        <f>IF(OR(C274="",P274=""),"",((P274+IF(Q274="",0,Q274))-(C274+IF(D274="",0,D274)))*24)</f>
        <v/>
      </c>
      <c r="AH274" s="18">
        <f>IF(AG274="","",INT(AG274/24)&amp;"d "&amp;INT(MOD(AG274,24))&amp;"h "&amp;INT(MOD(AG274*60,60))&amp;"m")</f>
        <v/>
      </c>
      <c r="AI274" s="28">
        <f>IF(OR(O274="",K274="",H274=""),"",IF(OR(E274="XAUUSD",RIGHT(E274,3)="USD"),(O274-K274)*Z274*AA274*H274,IF(LEFT(E274,3)="USD",IF(O274=0,"",(O274-K274)*Z274*AA274*H274/O274),AD274*10*H274)))</f>
        <v/>
      </c>
      <c r="AJ274" s="28">
        <f>IF(O274="","",IF(S274="",IF(AI274="",0,AI274),S274)-IF(R274="",0,R274))</f>
        <v/>
      </c>
      <c r="AK274" s="18">
        <f>IF(C274="","",IF(OR(O274="",P274=""),"Open",IF(ABS(AJ274)&lt;=BEThreshold,"BE",IF(AJ274&gt;0,"Win","Loss"))))</f>
        <v/>
      </c>
      <c r="AL274" s="28">
        <f>IF(OR(C274="",AK274="Open"),"",InitialCapital+SUMIFS($AJ$2:AJ274,$AK$2:AK274,"&lt;&gt;Open"))</f>
        <v/>
      </c>
      <c r="AM274" s="18">
        <f>IF(OR(C274="",AK274=""),"",IF(AK274="Open","No","Yes"))</f>
        <v/>
      </c>
    </row>
    <row r="275" ht="18" customHeight="1">
      <c r="A275" s="18">
        <f>IF(C275="","",COUNTA($C$2:C275))</f>
        <v/>
      </c>
      <c r="B275" s="18">
        <f>IF(C275="","",TEXT(C275,"dddd"))</f>
        <v/>
      </c>
      <c r="C275" s="19" t="n"/>
      <c r="D275" s="20" t="n"/>
      <c r="E275" s="21" t="n"/>
      <c r="F275" s="21" t="n"/>
      <c r="G275" s="21" t="n"/>
      <c r="H275" s="22" t="n"/>
      <c r="I275" s="23" t="n"/>
      <c r="J275" s="22" t="n"/>
      <c r="K275" s="24" t="n"/>
      <c r="L275" s="24" t="n"/>
      <c r="M275" s="24" t="n"/>
      <c r="N275" s="21" t="n"/>
      <c r="O275" s="24" t="n"/>
      <c r="P275" s="19" t="n"/>
      <c r="Q275" s="20" t="n"/>
      <c r="R275" s="23" t="n"/>
      <c r="S275" s="23" t="n"/>
      <c r="T275" s="21" t="n"/>
      <c r="U275" s="21" t="n"/>
      <c r="V275" s="21" t="n"/>
      <c r="W275" s="21" t="n"/>
      <c r="X275" s="21" t="n"/>
      <c r="Y275" s="25">
        <f>IF($C275="","",IF(E275="XAUUSD",0.1,IF(ISNUMBER(SEARCH("JPY",E275)),0.01,0.0001)))</f>
        <v/>
      </c>
      <c r="Z275" s="18">
        <f>IF($C275="","",IF(F275="Sell",-1,1))</f>
        <v/>
      </c>
      <c r="AA275" s="18">
        <f>IF($C275="","",IF(E275="XAUUSD",100,100000))</f>
        <v/>
      </c>
      <c r="AB275" s="26">
        <f>IF(OR(K275="",L275=""),"",ABS(K275-L275)/Y275)</f>
        <v/>
      </c>
      <c r="AC275" s="26">
        <f>IF(OR(K275="",M275=""),"",ABS(M275-K275)/Y275)</f>
        <v/>
      </c>
      <c r="AD275" s="26">
        <f>IF(OR(K275="",O275=""),"",(O275-K275)*Z275/Y275)</f>
        <v/>
      </c>
      <c r="AE275" s="27">
        <f>IF(OR(AB275="",AB275=0,AC275=""),"",AC275/AB275)</f>
        <v/>
      </c>
      <c r="AF275" s="27">
        <f>IF(OR(AB275="",AB275=0,AD275=""),"",AD275/AB275)</f>
        <v/>
      </c>
      <c r="AG275" s="27">
        <f>IF(OR(C275="",P275=""),"",((P275+IF(Q275="",0,Q275))-(C275+IF(D275="",0,D275)))*24)</f>
        <v/>
      </c>
      <c r="AH275" s="18">
        <f>IF(AG275="","",INT(AG275/24)&amp;"d "&amp;INT(MOD(AG275,24))&amp;"h "&amp;INT(MOD(AG275*60,60))&amp;"m")</f>
        <v/>
      </c>
      <c r="AI275" s="28">
        <f>IF(OR(O275="",K275="",H275=""),"",IF(OR(E275="XAUUSD",RIGHT(E275,3)="USD"),(O275-K275)*Z275*AA275*H275,IF(LEFT(E275,3)="USD",IF(O275=0,"",(O275-K275)*Z275*AA275*H275/O275),AD275*10*H275)))</f>
        <v/>
      </c>
      <c r="AJ275" s="28">
        <f>IF(O275="","",IF(S275="",IF(AI275="",0,AI275),S275)-IF(R275="",0,R275))</f>
        <v/>
      </c>
      <c r="AK275" s="18">
        <f>IF(C275="","",IF(OR(O275="",P275=""),"Open",IF(ABS(AJ275)&lt;=BEThreshold,"BE",IF(AJ275&gt;0,"Win","Loss"))))</f>
        <v/>
      </c>
      <c r="AL275" s="28">
        <f>IF(OR(C275="",AK275="Open"),"",InitialCapital+SUMIFS($AJ$2:AJ275,$AK$2:AK275,"&lt;&gt;Open"))</f>
        <v/>
      </c>
      <c r="AM275" s="18">
        <f>IF(OR(C275="",AK275=""),"",IF(AK275="Open","No","Yes"))</f>
        <v/>
      </c>
    </row>
    <row r="276" ht="18" customHeight="1">
      <c r="A276" s="18">
        <f>IF(C276="","",COUNTA($C$2:C276))</f>
        <v/>
      </c>
      <c r="B276" s="18">
        <f>IF(C276="","",TEXT(C276,"dddd"))</f>
        <v/>
      </c>
      <c r="C276" s="19" t="n"/>
      <c r="D276" s="20" t="n"/>
      <c r="E276" s="21" t="n"/>
      <c r="F276" s="21" t="n"/>
      <c r="G276" s="21" t="n"/>
      <c r="H276" s="22" t="n"/>
      <c r="I276" s="23" t="n"/>
      <c r="J276" s="22" t="n"/>
      <c r="K276" s="24" t="n"/>
      <c r="L276" s="24" t="n"/>
      <c r="M276" s="24" t="n"/>
      <c r="N276" s="21" t="n"/>
      <c r="O276" s="24" t="n"/>
      <c r="P276" s="19" t="n"/>
      <c r="Q276" s="20" t="n"/>
      <c r="R276" s="23" t="n"/>
      <c r="S276" s="23" t="n"/>
      <c r="T276" s="21" t="n"/>
      <c r="U276" s="21" t="n"/>
      <c r="V276" s="21" t="n"/>
      <c r="W276" s="21" t="n"/>
      <c r="X276" s="21" t="n"/>
      <c r="Y276" s="25">
        <f>IF($C276="","",IF(E276="XAUUSD",0.1,IF(ISNUMBER(SEARCH("JPY",E276)),0.01,0.0001)))</f>
        <v/>
      </c>
      <c r="Z276" s="18">
        <f>IF($C276="","",IF(F276="Sell",-1,1))</f>
        <v/>
      </c>
      <c r="AA276" s="18">
        <f>IF($C276="","",IF(E276="XAUUSD",100,100000))</f>
        <v/>
      </c>
      <c r="AB276" s="26">
        <f>IF(OR(K276="",L276=""),"",ABS(K276-L276)/Y276)</f>
        <v/>
      </c>
      <c r="AC276" s="26">
        <f>IF(OR(K276="",M276=""),"",ABS(M276-K276)/Y276)</f>
        <v/>
      </c>
      <c r="AD276" s="26">
        <f>IF(OR(K276="",O276=""),"",(O276-K276)*Z276/Y276)</f>
        <v/>
      </c>
      <c r="AE276" s="27">
        <f>IF(OR(AB276="",AB276=0,AC276=""),"",AC276/AB276)</f>
        <v/>
      </c>
      <c r="AF276" s="27">
        <f>IF(OR(AB276="",AB276=0,AD276=""),"",AD276/AB276)</f>
        <v/>
      </c>
      <c r="AG276" s="27">
        <f>IF(OR(C276="",P276=""),"",((P276+IF(Q276="",0,Q276))-(C276+IF(D276="",0,D276)))*24)</f>
        <v/>
      </c>
      <c r="AH276" s="18">
        <f>IF(AG276="","",INT(AG276/24)&amp;"d "&amp;INT(MOD(AG276,24))&amp;"h "&amp;INT(MOD(AG276*60,60))&amp;"m")</f>
        <v/>
      </c>
      <c r="AI276" s="28">
        <f>IF(OR(O276="",K276="",H276=""),"",IF(OR(E276="XAUUSD",RIGHT(E276,3)="USD"),(O276-K276)*Z276*AA276*H276,IF(LEFT(E276,3)="USD",IF(O276=0,"",(O276-K276)*Z276*AA276*H276/O276),AD276*10*H276)))</f>
        <v/>
      </c>
      <c r="AJ276" s="28">
        <f>IF(O276="","",IF(S276="",IF(AI276="",0,AI276),S276)-IF(R276="",0,R276))</f>
        <v/>
      </c>
      <c r="AK276" s="18">
        <f>IF(C276="","",IF(OR(O276="",P276=""),"Open",IF(ABS(AJ276)&lt;=BEThreshold,"BE",IF(AJ276&gt;0,"Win","Loss"))))</f>
        <v/>
      </c>
      <c r="AL276" s="28">
        <f>IF(OR(C276="",AK276="Open"),"",InitialCapital+SUMIFS($AJ$2:AJ276,$AK$2:AK276,"&lt;&gt;Open"))</f>
        <v/>
      </c>
      <c r="AM276" s="18">
        <f>IF(OR(C276="",AK276=""),"",IF(AK276="Open","No","Yes"))</f>
        <v/>
      </c>
    </row>
    <row r="277" ht="18" customHeight="1">
      <c r="A277" s="18">
        <f>IF(C277="","",COUNTA($C$2:C277))</f>
        <v/>
      </c>
      <c r="B277" s="18">
        <f>IF(C277="","",TEXT(C277,"dddd"))</f>
        <v/>
      </c>
      <c r="C277" s="19" t="n"/>
      <c r="D277" s="20" t="n"/>
      <c r="E277" s="21" t="n"/>
      <c r="F277" s="21" t="n"/>
      <c r="G277" s="21" t="n"/>
      <c r="H277" s="22" t="n"/>
      <c r="I277" s="23" t="n"/>
      <c r="J277" s="22" t="n"/>
      <c r="K277" s="24" t="n"/>
      <c r="L277" s="24" t="n"/>
      <c r="M277" s="24" t="n"/>
      <c r="N277" s="21" t="n"/>
      <c r="O277" s="24" t="n"/>
      <c r="P277" s="19" t="n"/>
      <c r="Q277" s="20" t="n"/>
      <c r="R277" s="23" t="n"/>
      <c r="S277" s="23" t="n"/>
      <c r="T277" s="21" t="n"/>
      <c r="U277" s="21" t="n"/>
      <c r="V277" s="21" t="n"/>
      <c r="W277" s="21" t="n"/>
      <c r="X277" s="21" t="n"/>
      <c r="Y277" s="25">
        <f>IF($C277="","",IF(E277="XAUUSD",0.1,IF(ISNUMBER(SEARCH("JPY",E277)),0.01,0.0001)))</f>
        <v/>
      </c>
      <c r="Z277" s="18">
        <f>IF($C277="","",IF(F277="Sell",-1,1))</f>
        <v/>
      </c>
      <c r="AA277" s="18">
        <f>IF($C277="","",IF(E277="XAUUSD",100,100000))</f>
        <v/>
      </c>
      <c r="AB277" s="26">
        <f>IF(OR(K277="",L277=""),"",ABS(K277-L277)/Y277)</f>
        <v/>
      </c>
      <c r="AC277" s="26">
        <f>IF(OR(K277="",M277=""),"",ABS(M277-K277)/Y277)</f>
        <v/>
      </c>
      <c r="AD277" s="26">
        <f>IF(OR(K277="",O277=""),"",(O277-K277)*Z277/Y277)</f>
        <v/>
      </c>
      <c r="AE277" s="27">
        <f>IF(OR(AB277="",AB277=0,AC277=""),"",AC277/AB277)</f>
        <v/>
      </c>
      <c r="AF277" s="27">
        <f>IF(OR(AB277="",AB277=0,AD277=""),"",AD277/AB277)</f>
        <v/>
      </c>
      <c r="AG277" s="27">
        <f>IF(OR(C277="",P277=""),"",((P277+IF(Q277="",0,Q277))-(C277+IF(D277="",0,D277)))*24)</f>
        <v/>
      </c>
      <c r="AH277" s="18">
        <f>IF(AG277="","",INT(AG277/24)&amp;"d "&amp;INT(MOD(AG277,24))&amp;"h "&amp;INT(MOD(AG277*60,60))&amp;"m")</f>
        <v/>
      </c>
      <c r="AI277" s="28">
        <f>IF(OR(O277="",K277="",H277=""),"",IF(OR(E277="XAUUSD",RIGHT(E277,3)="USD"),(O277-K277)*Z277*AA277*H277,IF(LEFT(E277,3)="USD",IF(O277=0,"",(O277-K277)*Z277*AA277*H277/O277),AD277*10*H277)))</f>
        <v/>
      </c>
      <c r="AJ277" s="28">
        <f>IF(O277="","",IF(S277="",IF(AI277="",0,AI277),S277)-IF(R277="",0,R277))</f>
        <v/>
      </c>
      <c r="AK277" s="18">
        <f>IF(C277="","",IF(OR(O277="",P277=""),"Open",IF(ABS(AJ277)&lt;=BEThreshold,"BE",IF(AJ277&gt;0,"Win","Loss"))))</f>
        <v/>
      </c>
      <c r="AL277" s="28">
        <f>IF(OR(C277="",AK277="Open"),"",InitialCapital+SUMIFS($AJ$2:AJ277,$AK$2:AK277,"&lt;&gt;Open"))</f>
        <v/>
      </c>
      <c r="AM277" s="18">
        <f>IF(OR(C277="",AK277=""),"",IF(AK277="Open","No","Yes"))</f>
        <v/>
      </c>
    </row>
    <row r="278" ht="18" customHeight="1">
      <c r="A278" s="18">
        <f>IF(C278="","",COUNTA($C$2:C278))</f>
        <v/>
      </c>
      <c r="B278" s="18">
        <f>IF(C278="","",TEXT(C278,"dddd"))</f>
        <v/>
      </c>
      <c r="C278" s="19" t="n"/>
      <c r="D278" s="20" t="n"/>
      <c r="E278" s="21" t="n"/>
      <c r="F278" s="21" t="n"/>
      <c r="G278" s="21" t="n"/>
      <c r="H278" s="22" t="n"/>
      <c r="I278" s="23" t="n"/>
      <c r="J278" s="22" t="n"/>
      <c r="K278" s="24" t="n"/>
      <c r="L278" s="24" t="n"/>
      <c r="M278" s="24" t="n"/>
      <c r="N278" s="21" t="n"/>
      <c r="O278" s="24" t="n"/>
      <c r="P278" s="19" t="n"/>
      <c r="Q278" s="20" t="n"/>
      <c r="R278" s="23" t="n"/>
      <c r="S278" s="23" t="n"/>
      <c r="T278" s="21" t="n"/>
      <c r="U278" s="21" t="n"/>
      <c r="V278" s="21" t="n"/>
      <c r="W278" s="21" t="n"/>
      <c r="X278" s="21" t="n"/>
      <c r="Y278" s="25">
        <f>IF($C278="","",IF(E278="XAUUSD",0.1,IF(ISNUMBER(SEARCH("JPY",E278)),0.01,0.0001)))</f>
        <v/>
      </c>
      <c r="Z278" s="18">
        <f>IF($C278="","",IF(F278="Sell",-1,1))</f>
        <v/>
      </c>
      <c r="AA278" s="18">
        <f>IF($C278="","",IF(E278="XAUUSD",100,100000))</f>
        <v/>
      </c>
      <c r="AB278" s="26">
        <f>IF(OR(K278="",L278=""),"",ABS(K278-L278)/Y278)</f>
        <v/>
      </c>
      <c r="AC278" s="26">
        <f>IF(OR(K278="",M278=""),"",ABS(M278-K278)/Y278)</f>
        <v/>
      </c>
      <c r="AD278" s="26">
        <f>IF(OR(K278="",O278=""),"",(O278-K278)*Z278/Y278)</f>
        <v/>
      </c>
      <c r="AE278" s="27">
        <f>IF(OR(AB278="",AB278=0,AC278=""),"",AC278/AB278)</f>
        <v/>
      </c>
      <c r="AF278" s="27">
        <f>IF(OR(AB278="",AB278=0,AD278=""),"",AD278/AB278)</f>
        <v/>
      </c>
      <c r="AG278" s="27">
        <f>IF(OR(C278="",P278=""),"",((P278+IF(Q278="",0,Q278))-(C278+IF(D278="",0,D278)))*24)</f>
        <v/>
      </c>
      <c r="AH278" s="18">
        <f>IF(AG278="","",INT(AG278/24)&amp;"d "&amp;INT(MOD(AG278,24))&amp;"h "&amp;INT(MOD(AG278*60,60))&amp;"m")</f>
        <v/>
      </c>
      <c r="AI278" s="28">
        <f>IF(OR(O278="",K278="",H278=""),"",IF(OR(E278="XAUUSD",RIGHT(E278,3)="USD"),(O278-K278)*Z278*AA278*H278,IF(LEFT(E278,3)="USD",IF(O278=0,"",(O278-K278)*Z278*AA278*H278/O278),AD278*10*H278)))</f>
        <v/>
      </c>
      <c r="AJ278" s="28">
        <f>IF(O278="","",IF(S278="",IF(AI278="",0,AI278),S278)-IF(R278="",0,R278))</f>
        <v/>
      </c>
      <c r="AK278" s="18">
        <f>IF(C278="","",IF(OR(O278="",P278=""),"Open",IF(ABS(AJ278)&lt;=BEThreshold,"BE",IF(AJ278&gt;0,"Win","Loss"))))</f>
        <v/>
      </c>
      <c r="AL278" s="28">
        <f>IF(OR(C278="",AK278="Open"),"",InitialCapital+SUMIFS($AJ$2:AJ278,$AK$2:AK278,"&lt;&gt;Open"))</f>
        <v/>
      </c>
      <c r="AM278" s="18">
        <f>IF(OR(C278="",AK278=""),"",IF(AK278="Open","No","Yes"))</f>
        <v/>
      </c>
    </row>
    <row r="279" ht="18" customHeight="1">
      <c r="A279" s="18">
        <f>IF(C279="","",COUNTA($C$2:C279))</f>
        <v/>
      </c>
      <c r="B279" s="18">
        <f>IF(C279="","",TEXT(C279,"dddd"))</f>
        <v/>
      </c>
      <c r="C279" s="19" t="n"/>
      <c r="D279" s="20" t="n"/>
      <c r="E279" s="21" t="n"/>
      <c r="F279" s="21" t="n"/>
      <c r="G279" s="21" t="n"/>
      <c r="H279" s="22" t="n"/>
      <c r="I279" s="23" t="n"/>
      <c r="J279" s="22" t="n"/>
      <c r="K279" s="24" t="n"/>
      <c r="L279" s="24" t="n"/>
      <c r="M279" s="24" t="n"/>
      <c r="N279" s="21" t="n"/>
      <c r="O279" s="24" t="n"/>
      <c r="P279" s="19" t="n"/>
      <c r="Q279" s="20" t="n"/>
      <c r="R279" s="23" t="n"/>
      <c r="S279" s="23" t="n"/>
      <c r="T279" s="21" t="n"/>
      <c r="U279" s="21" t="n"/>
      <c r="V279" s="21" t="n"/>
      <c r="W279" s="21" t="n"/>
      <c r="X279" s="21" t="n"/>
      <c r="Y279" s="25">
        <f>IF($C279="","",IF(E279="XAUUSD",0.1,IF(ISNUMBER(SEARCH("JPY",E279)),0.01,0.0001)))</f>
        <v/>
      </c>
      <c r="Z279" s="18">
        <f>IF($C279="","",IF(F279="Sell",-1,1))</f>
        <v/>
      </c>
      <c r="AA279" s="18">
        <f>IF($C279="","",IF(E279="XAUUSD",100,100000))</f>
        <v/>
      </c>
      <c r="AB279" s="26">
        <f>IF(OR(K279="",L279=""),"",ABS(K279-L279)/Y279)</f>
        <v/>
      </c>
      <c r="AC279" s="26">
        <f>IF(OR(K279="",M279=""),"",ABS(M279-K279)/Y279)</f>
        <v/>
      </c>
      <c r="AD279" s="26">
        <f>IF(OR(K279="",O279=""),"",(O279-K279)*Z279/Y279)</f>
        <v/>
      </c>
      <c r="AE279" s="27">
        <f>IF(OR(AB279="",AB279=0,AC279=""),"",AC279/AB279)</f>
        <v/>
      </c>
      <c r="AF279" s="27">
        <f>IF(OR(AB279="",AB279=0,AD279=""),"",AD279/AB279)</f>
        <v/>
      </c>
      <c r="AG279" s="27">
        <f>IF(OR(C279="",P279=""),"",((P279+IF(Q279="",0,Q279))-(C279+IF(D279="",0,D279)))*24)</f>
        <v/>
      </c>
      <c r="AH279" s="18">
        <f>IF(AG279="","",INT(AG279/24)&amp;"d "&amp;INT(MOD(AG279,24))&amp;"h "&amp;INT(MOD(AG279*60,60))&amp;"m")</f>
        <v/>
      </c>
      <c r="AI279" s="28">
        <f>IF(OR(O279="",K279="",H279=""),"",IF(OR(E279="XAUUSD",RIGHT(E279,3)="USD"),(O279-K279)*Z279*AA279*H279,IF(LEFT(E279,3)="USD",IF(O279=0,"",(O279-K279)*Z279*AA279*H279/O279),AD279*10*H279)))</f>
        <v/>
      </c>
      <c r="AJ279" s="28">
        <f>IF(O279="","",IF(S279="",IF(AI279="",0,AI279),S279)-IF(R279="",0,R279))</f>
        <v/>
      </c>
      <c r="AK279" s="18">
        <f>IF(C279="","",IF(OR(O279="",P279=""),"Open",IF(ABS(AJ279)&lt;=BEThreshold,"BE",IF(AJ279&gt;0,"Win","Loss"))))</f>
        <v/>
      </c>
      <c r="AL279" s="28">
        <f>IF(OR(C279="",AK279="Open"),"",InitialCapital+SUMIFS($AJ$2:AJ279,$AK$2:AK279,"&lt;&gt;Open"))</f>
        <v/>
      </c>
      <c r="AM279" s="18">
        <f>IF(OR(C279="",AK279=""),"",IF(AK279="Open","No","Yes"))</f>
        <v/>
      </c>
    </row>
    <row r="280" ht="18" customHeight="1">
      <c r="A280" s="18">
        <f>IF(C280="","",COUNTA($C$2:C280))</f>
        <v/>
      </c>
      <c r="B280" s="18">
        <f>IF(C280="","",TEXT(C280,"dddd"))</f>
        <v/>
      </c>
      <c r="C280" s="19" t="n"/>
      <c r="D280" s="20" t="n"/>
      <c r="E280" s="21" t="n"/>
      <c r="F280" s="21" t="n"/>
      <c r="G280" s="21" t="n"/>
      <c r="H280" s="22" t="n"/>
      <c r="I280" s="23" t="n"/>
      <c r="J280" s="22" t="n"/>
      <c r="K280" s="24" t="n"/>
      <c r="L280" s="24" t="n"/>
      <c r="M280" s="24" t="n"/>
      <c r="N280" s="21" t="n"/>
      <c r="O280" s="24" t="n"/>
      <c r="P280" s="19" t="n"/>
      <c r="Q280" s="20" t="n"/>
      <c r="R280" s="23" t="n"/>
      <c r="S280" s="23" t="n"/>
      <c r="T280" s="21" t="n"/>
      <c r="U280" s="21" t="n"/>
      <c r="V280" s="21" t="n"/>
      <c r="W280" s="21" t="n"/>
      <c r="X280" s="21" t="n"/>
      <c r="Y280" s="25">
        <f>IF($C280="","",IF(E280="XAUUSD",0.1,IF(ISNUMBER(SEARCH("JPY",E280)),0.01,0.0001)))</f>
        <v/>
      </c>
      <c r="Z280" s="18">
        <f>IF($C280="","",IF(F280="Sell",-1,1))</f>
        <v/>
      </c>
      <c r="AA280" s="18">
        <f>IF($C280="","",IF(E280="XAUUSD",100,100000))</f>
        <v/>
      </c>
      <c r="AB280" s="26">
        <f>IF(OR(K280="",L280=""),"",ABS(K280-L280)/Y280)</f>
        <v/>
      </c>
      <c r="AC280" s="26">
        <f>IF(OR(K280="",M280=""),"",ABS(M280-K280)/Y280)</f>
        <v/>
      </c>
      <c r="AD280" s="26">
        <f>IF(OR(K280="",O280=""),"",(O280-K280)*Z280/Y280)</f>
        <v/>
      </c>
      <c r="AE280" s="27">
        <f>IF(OR(AB280="",AB280=0,AC280=""),"",AC280/AB280)</f>
        <v/>
      </c>
      <c r="AF280" s="27">
        <f>IF(OR(AB280="",AB280=0,AD280=""),"",AD280/AB280)</f>
        <v/>
      </c>
      <c r="AG280" s="27">
        <f>IF(OR(C280="",P280=""),"",((P280+IF(Q280="",0,Q280))-(C280+IF(D280="",0,D280)))*24)</f>
        <v/>
      </c>
      <c r="AH280" s="18">
        <f>IF(AG280="","",INT(AG280/24)&amp;"d "&amp;INT(MOD(AG280,24))&amp;"h "&amp;INT(MOD(AG280*60,60))&amp;"m")</f>
        <v/>
      </c>
      <c r="AI280" s="28">
        <f>IF(OR(O280="",K280="",H280=""),"",IF(OR(E280="XAUUSD",RIGHT(E280,3)="USD"),(O280-K280)*Z280*AA280*H280,IF(LEFT(E280,3)="USD",IF(O280=0,"",(O280-K280)*Z280*AA280*H280/O280),AD280*10*H280)))</f>
        <v/>
      </c>
      <c r="AJ280" s="28">
        <f>IF(O280="","",IF(S280="",IF(AI280="",0,AI280),S280)-IF(R280="",0,R280))</f>
        <v/>
      </c>
      <c r="AK280" s="18">
        <f>IF(C280="","",IF(OR(O280="",P280=""),"Open",IF(ABS(AJ280)&lt;=BEThreshold,"BE",IF(AJ280&gt;0,"Win","Loss"))))</f>
        <v/>
      </c>
      <c r="AL280" s="28">
        <f>IF(OR(C280="",AK280="Open"),"",InitialCapital+SUMIFS($AJ$2:AJ280,$AK$2:AK280,"&lt;&gt;Open"))</f>
        <v/>
      </c>
      <c r="AM280" s="18">
        <f>IF(OR(C280="",AK280=""),"",IF(AK280="Open","No","Yes"))</f>
        <v/>
      </c>
    </row>
    <row r="281" ht="18" customHeight="1">
      <c r="A281" s="18">
        <f>IF(C281="","",COUNTA($C$2:C281))</f>
        <v/>
      </c>
      <c r="B281" s="18">
        <f>IF(C281="","",TEXT(C281,"dddd"))</f>
        <v/>
      </c>
      <c r="C281" s="19" t="n"/>
      <c r="D281" s="20" t="n"/>
      <c r="E281" s="21" t="n"/>
      <c r="F281" s="21" t="n"/>
      <c r="G281" s="21" t="n"/>
      <c r="H281" s="22" t="n"/>
      <c r="I281" s="23" t="n"/>
      <c r="J281" s="22" t="n"/>
      <c r="K281" s="24" t="n"/>
      <c r="L281" s="24" t="n"/>
      <c r="M281" s="24" t="n"/>
      <c r="N281" s="21" t="n"/>
      <c r="O281" s="24" t="n"/>
      <c r="P281" s="19" t="n"/>
      <c r="Q281" s="20" t="n"/>
      <c r="R281" s="23" t="n"/>
      <c r="S281" s="23" t="n"/>
      <c r="T281" s="21" t="n"/>
      <c r="U281" s="21" t="n"/>
      <c r="V281" s="21" t="n"/>
      <c r="W281" s="21" t="n"/>
      <c r="X281" s="21" t="n"/>
      <c r="Y281" s="25">
        <f>IF($C281="","",IF(E281="XAUUSD",0.1,IF(ISNUMBER(SEARCH("JPY",E281)),0.01,0.0001)))</f>
        <v/>
      </c>
      <c r="Z281" s="18">
        <f>IF($C281="","",IF(F281="Sell",-1,1))</f>
        <v/>
      </c>
      <c r="AA281" s="18">
        <f>IF($C281="","",IF(E281="XAUUSD",100,100000))</f>
        <v/>
      </c>
      <c r="AB281" s="26">
        <f>IF(OR(K281="",L281=""),"",ABS(K281-L281)/Y281)</f>
        <v/>
      </c>
      <c r="AC281" s="26">
        <f>IF(OR(K281="",M281=""),"",ABS(M281-K281)/Y281)</f>
        <v/>
      </c>
      <c r="AD281" s="26">
        <f>IF(OR(K281="",O281=""),"",(O281-K281)*Z281/Y281)</f>
        <v/>
      </c>
      <c r="AE281" s="27">
        <f>IF(OR(AB281="",AB281=0,AC281=""),"",AC281/AB281)</f>
        <v/>
      </c>
      <c r="AF281" s="27">
        <f>IF(OR(AB281="",AB281=0,AD281=""),"",AD281/AB281)</f>
        <v/>
      </c>
      <c r="AG281" s="27">
        <f>IF(OR(C281="",P281=""),"",((P281+IF(Q281="",0,Q281))-(C281+IF(D281="",0,D281)))*24)</f>
        <v/>
      </c>
      <c r="AH281" s="18">
        <f>IF(AG281="","",INT(AG281/24)&amp;"d "&amp;INT(MOD(AG281,24))&amp;"h "&amp;INT(MOD(AG281*60,60))&amp;"m")</f>
        <v/>
      </c>
      <c r="AI281" s="28">
        <f>IF(OR(O281="",K281="",H281=""),"",IF(OR(E281="XAUUSD",RIGHT(E281,3)="USD"),(O281-K281)*Z281*AA281*H281,IF(LEFT(E281,3)="USD",IF(O281=0,"",(O281-K281)*Z281*AA281*H281/O281),AD281*10*H281)))</f>
        <v/>
      </c>
      <c r="AJ281" s="28">
        <f>IF(O281="","",IF(S281="",IF(AI281="",0,AI281),S281)-IF(R281="",0,R281))</f>
        <v/>
      </c>
      <c r="AK281" s="18">
        <f>IF(C281="","",IF(OR(O281="",P281=""),"Open",IF(ABS(AJ281)&lt;=BEThreshold,"BE",IF(AJ281&gt;0,"Win","Loss"))))</f>
        <v/>
      </c>
      <c r="AL281" s="28">
        <f>IF(OR(C281="",AK281="Open"),"",InitialCapital+SUMIFS($AJ$2:AJ281,$AK$2:AK281,"&lt;&gt;Open"))</f>
        <v/>
      </c>
      <c r="AM281" s="18">
        <f>IF(OR(C281="",AK281=""),"",IF(AK281="Open","No","Yes"))</f>
        <v/>
      </c>
    </row>
    <row r="282" ht="18" customHeight="1">
      <c r="A282" s="18">
        <f>IF(C282="","",COUNTA($C$2:C282))</f>
        <v/>
      </c>
      <c r="B282" s="18">
        <f>IF(C282="","",TEXT(C282,"dddd"))</f>
        <v/>
      </c>
      <c r="C282" s="19" t="n"/>
      <c r="D282" s="20" t="n"/>
      <c r="E282" s="21" t="n"/>
      <c r="F282" s="21" t="n"/>
      <c r="G282" s="21" t="n"/>
      <c r="H282" s="22" t="n"/>
      <c r="I282" s="23" t="n"/>
      <c r="J282" s="22" t="n"/>
      <c r="K282" s="24" t="n"/>
      <c r="L282" s="24" t="n"/>
      <c r="M282" s="24" t="n"/>
      <c r="N282" s="21" t="n"/>
      <c r="O282" s="24" t="n"/>
      <c r="P282" s="19" t="n"/>
      <c r="Q282" s="20" t="n"/>
      <c r="R282" s="23" t="n"/>
      <c r="S282" s="23" t="n"/>
      <c r="T282" s="21" t="n"/>
      <c r="U282" s="21" t="n"/>
      <c r="V282" s="21" t="n"/>
      <c r="W282" s="21" t="n"/>
      <c r="X282" s="21" t="n"/>
      <c r="Y282" s="25">
        <f>IF($C282="","",IF(E282="XAUUSD",0.1,IF(ISNUMBER(SEARCH("JPY",E282)),0.01,0.0001)))</f>
        <v/>
      </c>
      <c r="Z282" s="18">
        <f>IF($C282="","",IF(F282="Sell",-1,1))</f>
        <v/>
      </c>
      <c r="AA282" s="18">
        <f>IF($C282="","",IF(E282="XAUUSD",100,100000))</f>
        <v/>
      </c>
      <c r="AB282" s="26">
        <f>IF(OR(K282="",L282=""),"",ABS(K282-L282)/Y282)</f>
        <v/>
      </c>
      <c r="AC282" s="26">
        <f>IF(OR(K282="",M282=""),"",ABS(M282-K282)/Y282)</f>
        <v/>
      </c>
      <c r="AD282" s="26">
        <f>IF(OR(K282="",O282=""),"",(O282-K282)*Z282/Y282)</f>
        <v/>
      </c>
      <c r="AE282" s="27">
        <f>IF(OR(AB282="",AB282=0,AC282=""),"",AC282/AB282)</f>
        <v/>
      </c>
      <c r="AF282" s="27">
        <f>IF(OR(AB282="",AB282=0,AD282=""),"",AD282/AB282)</f>
        <v/>
      </c>
      <c r="AG282" s="27">
        <f>IF(OR(C282="",P282=""),"",((P282+IF(Q282="",0,Q282))-(C282+IF(D282="",0,D282)))*24)</f>
        <v/>
      </c>
      <c r="AH282" s="18">
        <f>IF(AG282="","",INT(AG282/24)&amp;"d "&amp;INT(MOD(AG282,24))&amp;"h "&amp;INT(MOD(AG282*60,60))&amp;"m")</f>
        <v/>
      </c>
      <c r="AI282" s="28">
        <f>IF(OR(O282="",K282="",H282=""),"",IF(OR(E282="XAUUSD",RIGHT(E282,3)="USD"),(O282-K282)*Z282*AA282*H282,IF(LEFT(E282,3)="USD",IF(O282=0,"",(O282-K282)*Z282*AA282*H282/O282),AD282*10*H282)))</f>
        <v/>
      </c>
      <c r="AJ282" s="28">
        <f>IF(O282="","",IF(S282="",IF(AI282="",0,AI282),S282)-IF(R282="",0,R282))</f>
        <v/>
      </c>
      <c r="AK282" s="18">
        <f>IF(C282="","",IF(OR(O282="",P282=""),"Open",IF(ABS(AJ282)&lt;=BEThreshold,"BE",IF(AJ282&gt;0,"Win","Loss"))))</f>
        <v/>
      </c>
      <c r="AL282" s="28">
        <f>IF(OR(C282="",AK282="Open"),"",InitialCapital+SUMIFS($AJ$2:AJ282,$AK$2:AK282,"&lt;&gt;Open"))</f>
        <v/>
      </c>
      <c r="AM282" s="18">
        <f>IF(OR(C282="",AK282=""),"",IF(AK282="Open","No","Yes"))</f>
        <v/>
      </c>
    </row>
    <row r="283" ht="18" customHeight="1">
      <c r="A283" s="18">
        <f>IF(C283="","",COUNTA($C$2:C283))</f>
        <v/>
      </c>
      <c r="B283" s="18">
        <f>IF(C283="","",TEXT(C283,"dddd"))</f>
        <v/>
      </c>
      <c r="C283" s="19" t="n"/>
      <c r="D283" s="20" t="n"/>
      <c r="E283" s="21" t="n"/>
      <c r="F283" s="21" t="n"/>
      <c r="G283" s="21" t="n"/>
      <c r="H283" s="22" t="n"/>
      <c r="I283" s="23" t="n"/>
      <c r="J283" s="22" t="n"/>
      <c r="K283" s="24" t="n"/>
      <c r="L283" s="24" t="n"/>
      <c r="M283" s="24" t="n"/>
      <c r="N283" s="21" t="n"/>
      <c r="O283" s="24" t="n"/>
      <c r="P283" s="19" t="n"/>
      <c r="Q283" s="20" t="n"/>
      <c r="R283" s="23" t="n"/>
      <c r="S283" s="23" t="n"/>
      <c r="T283" s="21" t="n"/>
      <c r="U283" s="21" t="n"/>
      <c r="V283" s="21" t="n"/>
      <c r="W283" s="21" t="n"/>
      <c r="X283" s="21" t="n"/>
      <c r="Y283" s="25">
        <f>IF($C283="","",IF(E283="XAUUSD",0.1,IF(ISNUMBER(SEARCH("JPY",E283)),0.01,0.0001)))</f>
        <v/>
      </c>
      <c r="Z283" s="18">
        <f>IF($C283="","",IF(F283="Sell",-1,1))</f>
        <v/>
      </c>
      <c r="AA283" s="18">
        <f>IF($C283="","",IF(E283="XAUUSD",100,100000))</f>
        <v/>
      </c>
      <c r="AB283" s="26">
        <f>IF(OR(K283="",L283=""),"",ABS(K283-L283)/Y283)</f>
        <v/>
      </c>
      <c r="AC283" s="26">
        <f>IF(OR(K283="",M283=""),"",ABS(M283-K283)/Y283)</f>
        <v/>
      </c>
      <c r="AD283" s="26">
        <f>IF(OR(K283="",O283=""),"",(O283-K283)*Z283/Y283)</f>
        <v/>
      </c>
      <c r="AE283" s="27">
        <f>IF(OR(AB283="",AB283=0,AC283=""),"",AC283/AB283)</f>
        <v/>
      </c>
      <c r="AF283" s="27">
        <f>IF(OR(AB283="",AB283=0,AD283=""),"",AD283/AB283)</f>
        <v/>
      </c>
      <c r="AG283" s="27">
        <f>IF(OR(C283="",P283=""),"",((P283+IF(Q283="",0,Q283))-(C283+IF(D283="",0,D283)))*24)</f>
        <v/>
      </c>
      <c r="AH283" s="18">
        <f>IF(AG283="","",INT(AG283/24)&amp;"d "&amp;INT(MOD(AG283,24))&amp;"h "&amp;INT(MOD(AG283*60,60))&amp;"m")</f>
        <v/>
      </c>
      <c r="AI283" s="28">
        <f>IF(OR(O283="",K283="",H283=""),"",IF(OR(E283="XAUUSD",RIGHT(E283,3)="USD"),(O283-K283)*Z283*AA283*H283,IF(LEFT(E283,3)="USD",IF(O283=0,"",(O283-K283)*Z283*AA283*H283/O283),AD283*10*H283)))</f>
        <v/>
      </c>
      <c r="AJ283" s="28">
        <f>IF(O283="","",IF(S283="",IF(AI283="",0,AI283),S283)-IF(R283="",0,R283))</f>
        <v/>
      </c>
      <c r="AK283" s="18">
        <f>IF(C283="","",IF(OR(O283="",P283=""),"Open",IF(ABS(AJ283)&lt;=BEThreshold,"BE",IF(AJ283&gt;0,"Win","Loss"))))</f>
        <v/>
      </c>
      <c r="AL283" s="28">
        <f>IF(OR(C283="",AK283="Open"),"",InitialCapital+SUMIFS($AJ$2:AJ283,$AK$2:AK283,"&lt;&gt;Open"))</f>
        <v/>
      </c>
      <c r="AM283" s="18">
        <f>IF(OR(C283="",AK283=""),"",IF(AK283="Open","No","Yes"))</f>
        <v/>
      </c>
    </row>
    <row r="284" ht="18" customHeight="1">
      <c r="A284" s="18">
        <f>IF(C284="","",COUNTA($C$2:C284))</f>
        <v/>
      </c>
      <c r="B284" s="18">
        <f>IF(C284="","",TEXT(C284,"dddd"))</f>
        <v/>
      </c>
      <c r="C284" s="19" t="n"/>
      <c r="D284" s="20" t="n"/>
      <c r="E284" s="21" t="n"/>
      <c r="F284" s="21" t="n"/>
      <c r="G284" s="21" t="n"/>
      <c r="H284" s="22" t="n"/>
      <c r="I284" s="23" t="n"/>
      <c r="J284" s="22" t="n"/>
      <c r="K284" s="24" t="n"/>
      <c r="L284" s="24" t="n"/>
      <c r="M284" s="24" t="n"/>
      <c r="N284" s="21" t="n"/>
      <c r="O284" s="24" t="n"/>
      <c r="P284" s="19" t="n"/>
      <c r="Q284" s="20" t="n"/>
      <c r="R284" s="23" t="n"/>
      <c r="S284" s="23" t="n"/>
      <c r="T284" s="21" t="n"/>
      <c r="U284" s="21" t="n"/>
      <c r="V284" s="21" t="n"/>
      <c r="W284" s="21" t="n"/>
      <c r="X284" s="21" t="n"/>
      <c r="Y284" s="25">
        <f>IF($C284="","",IF(E284="XAUUSD",0.1,IF(ISNUMBER(SEARCH("JPY",E284)),0.01,0.0001)))</f>
        <v/>
      </c>
      <c r="Z284" s="18">
        <f>IF($C284="","",IF(F284="Sell",-1,1))</f>
        <v/>
      </c>
      <c r="AA284" s="18">
        <f>IF($C284="","",IF(E284="XAUUSD",100,100000))</f>
        <v/>
      </c>
      <c r="AB284" s="26">
        <f>IF(OR(K284="",L284=""),"",ABS(K284-L284)/Y284)</f>
        <v/>
      </c>
      <c r="AC284" s="26">
        <f>IF(OR(K284="",M284=""),"",ABS(M284-K284)/Y284)</f>
        <v/>
      </c>
      <c r="AD284" s="26">
        <f>IF(OR(K284="",O284=""),"",(O284-K284)*Z284/Y284)</f>
        <v/>
      </c>
      <c r="AE284" s="27">
        <f>IF(OR(AB284="",AB284=0,AC284=""),"",AC284/AB284)</f>
        <v/>
      </c>
      <c r="AF284" s="27">
        <f>IF(OR(AB284="",AB284=0,AD284=""),"",AD284/AB284)</f>
        <v/>
      </c>
      <c r="AG284" s="27">
        <f>IF(OR(C284="",P284=""),"",((P284+IF(Q284="",0,Q284))-(C284+IF(D284="",0,D284)))*24)</f>
        <v/>
      </c>
      <c r="AH284" s="18">
        <f>IF(AG284="","",INT(AG284/24)&amp;"d "&amp;INT(MOD(AG284,24))&amp;"h "&amp;INT(MOD(AG284*60,60))&amp;"m")</f>
        <v/>
      </c>
      <c r="AI284" s="28">
        <f>IF(OR(O284="",K284="",H284=""),"",IF(OR(E284="XAUUSD",RIGHT(E284,3)="USD"),(O284-K284)*Z284*AA284*H284,IF(LEFT(E284,3)="USD",IF(O284=0,"",(O284-K284)*Z284*AA284*H284/O284),AD284*10*H284)))</f>
        <v/>
      </c>
      <c r="AJ284" s="28">
        <f>IF(O284="","",IF(S284="",IF(AI284="",0,AI284),S284)-IF(R284="",0,R284))</f>
        <v/>
      </c>
      <c r="AK284" s="18">
        <f>IF(C284="","",IF(OR(O284="",P284=""),"Open",IF(ABS(AJ284)&lt;=BEThreshold,"BE",IF(AJ284&gt;0,"Win","Loss"))))</f>
        <v/>
      </c>
      <c r="AL284" s="28">
        <f>IF(OR(C284="",AK284="Open"),"",InitialCapital+SUMIFS($AJ$2:AJ284,$AK$2:AK284,"&lt;&gt;Open"))</f>
        <v/>
      </c>
      <c r="AM284" s="18">
        <f>IF(OR(C284="",AK284=""),"",IF(AK284="Open","No","Yes"))</f>
        <v/>
      </c>
    </row>
    <row r="285" ht="18" customHeight="1">
      <c r="A285" s="18">
        <f>IF(C285="","",COUNTA($C$2:C285))</f>
        <v/>
      </c>
      <c r="B285" s="18">
        <f>IF(C285="","",TEXT(C285,"dddd"))</f>
        <v/>
      </c>
      <c r="C285" s="19" t="n"/>
      <c r="D285" s="20" t="n"/>
      <c r="E285" s="21" t="n"/>
      <c r="F285" s="21" t="n"/>
      <c r="G285" s="21" t="n"/>
      <c r="H285" s="22" t="n"/>
      <c r="I285" s="23" t="n"/>
      <c r="J285" s="22" t="n"/>
      <c r="K285" s="24" t="n"/>
      <c r="L285" s="24" t="n"/>
      <c r="M285" s="24" t="n"/>
      <c r="N285" s="21" t="n"/>
      <c r="O285" s="24" t="n"/>
      <c r="P285" s="19" t="n"/>
      <c r="Q285" s="20" t="n"/>
      <c r="R285" s="23" t="n"/>
      <c r="S285" s="23" t="n"/>
      <c r="T285" s="21" t="n"/>
      <c r="U285" s="21" t="n"/>
      <c r="V285" s="21" t="n"/>
      <c r="W285" s="21" t="n"/>
      <c r="X285" s="21" t="n"/>
      <c r="Y285" s="25">
        <f>IF($C285="","",IF(E285="XAUUSD",0.1,IF(ISNUMBER(SEARCH("JPY",E285)),0.01,0.0001)))</f>
        <v/>
      </c>
      <c r="Z285" s="18">
        <f>IF($C285="","",IF(F285="Sell",-1,1))</f>
        <v/>
      </c>
      <c r="AA285" s="18">
        <f>IF($C285="","",IF(E285="XAUUSD",100,100000))</f>
        <v/>
      </c>
      <c r="AB285" s="26">
        <f>IF(OR(K285="",L285=""),"",ABS(K285-L285)/Y285)</f>
        <v/>
      </c>
      <c r="AC285" s="26">
        <f>IF(OR(K285="",M285=""),"",ABS(M285-K285)/Y285)</f>
        <v/>
      </c>
      <c r="AD285" s="26">
        <f>IF(OR(K285="",O285=""),"",(O285-K285)*Z285/Y285)</f>
        <v/>
      </c>
      <c r="AE285" s="27">
        <f>IF(OR(AB285="",AB285=0,AC285=""),"",AC285/AB285)</f>
        <v/>
      </c>
      <c r="AF285" s="27">
        <f>IF(OR(AB285="",AB285=0,AD285=""),"",AD285/AB285)</f>
        <v/>
      </c>
      <c r="AG285" s="27">
        <f>IF(OR(C285="",P285=""),"",((P285+IF(Q285="",0,Q285))-(C285+IF(D285="",0,D285)))*24)</f>
        <v/>
      </c>
      <c r="AH285" s="18">
        <f>IF(AG285="","",INT(AG285/24)&amp;"d "&amp;INT(MOD(AG285,24))&amp;"h "&amp;INT(MOD(AG285*60,60))&amp;"m")</f>
        <v/>
      </c>
      <c r="AI285" s="28">
        <f>IF(OR(O285="",K285="",H285=""),"",IF(OR(E285="XAUUSD",RIGHT(E285,3)="USD"),(O285-K285)*Z285*AA285*H285,IF(LEFT(E285,3)="USD",IF(O285=0,"",(O285-K285)*Z285*AA285*H285/O285),AD285*10*H285)))</f>
        <v/>
      </c>
      <c r="AJ285" s="28">
        <f>IF(O285="","",IF(S285="",IF(AI285="",0,AI285),S285)-IF(R285="",0,R285))</f>
        <v/>
      </c>
      <c r="AK285" s="18">
        <f>IF(C285="","",IF(OR(O285="",P285=""),"Open",IF(ABS(AJ285)&lt;=BEThreshold,"BE",IF(AJ285&gt;0,"Win","Loss"))))</f>
        <v/>
      </c>
      <c r="AL285" s="28">
        <f>IF(OR(C285="",AK285="Open"),"",InitialCapital+SUMIFS($AJ$2:AJ285,$AK$2:AK285,"&lt;&gt;Open"))</f>
        <v/>
      </c>
      <c r="AM285" s="18">
        <f>IF(OR(C285="",AK285=""),"",IF(AK285="Open","No","Yes"))</f>
        <v/>
      </c>
    </row>
    <row r="286" ht="18" customHeight="1">
      <c r="A286" s="18">
        <f>IF(C286="","",COUNTA($C$2:C286))</f>
        <v/>
      </c>
      <c r="B286" s="18">
        <f>IF(C286="","",TEXT(C286,"dddd"))</f>
        <v/>
      </c>
      <c r="C286" s="19" t="n"/>
      <c r="D286" s="20" t="n"/>
      <c r="E286" s="21" t="n"/>
      <c r="F286" s="21" t="n"/>
      <c r="G286" s="21" t="n"/>
      <c r="H286" s="22" t="n"/>
      <c r="I286" s="23" t="n"/>
      <c r="J286" s="22" t="n"/>
      <c r="K286" s="24" t="n"/>
      <c r="L286" s="24" t="n"/>
      <c r="M286" s="24" t="n"/>
      <c r="N286" s="21" t="n"/>
      <c r="O286" s="24" t="n"/>
      <c r="P286" s="19" t="n"/>
      <c r="Q286" s="20" t="n"/>
      <c r="R286" s="23" t="n"/>
      <c r="S286" s="23" t="n"/>
      <c r="T286" s="21" t="n"/>
      <c r="U286" s="21" t="n"/>
      <c r="V286" s="21" t="n"/>
      <c r="W286" s="21" t="n"/>
      <c r="X286" s="21" t="n"/>
      <c r="Y286" s="25">
        <f>IF($C286="","",IF(E286="XAUUSD",0.1,IF(ISNUMBER(SEARCH("JPY",E286)),0.01,0.0001)))</f>
        <v/>
      </c>
      <c r="Z286" s="18">
        <f>IF($C286="","",IF(F286="Sell",-1,1))</f>
        <v/>
      </c>
      <c r="AA286" s="18">
        <f>IF($C286="","",IF(E286="XAUUSD",100,100000))</f>
        <v/>
      </c>
      <c r="AB286" s="26">
        <f>IF(OR(K286="",L286=""),"",ABS(K286-L286)/Y286)</f>
        <v/>
      </c>
      <c r="AC286" s="26">
        <f>IF(OR(K286="",M286=""),"",ABS(M286-K286)/Y286)</f>
        <v/>
      </c>
      <c r="AD286" s="26">
        <f>IF(OR(K286="",O286=""),"",(O286-K286)*Z286/Y286)</f>
        <v/>
      </c>
      <c r="AE286" s="27">
        <f>IF(OR(AB286="",AB286=0,AC286=""),"",AC286/AB286)</f>
        <v/>
      </c>
      <c r="AF286" s="27">
        <f>IF(OR(AB286="",AB286=0,AD286=""),"",AD286/AB286)</f>
        <v/>
      </c>
      <c r="AG286" s="27">
        <f>IF(OR(C286="",P286=""),"",((P286+IF(Q286="",0,Q286))-(C286+IF(D286="",0,D286)))*24)</f>
        <v/>
      </c>
      <c r="AH286" s="18">
        <f>IF(AG286="","",INT(AG286/24)&amp;"d "&amp;INT(MOD(AG286,24))&amp;"h "&amp;INT(MOD(AG286*60,60))&amp;"m")</f>
        <v/>
      </c>
      <c r="AI286" s="28">
        <f>IF(OR(O286="",K286="",H286=""),"",IF(OR(E286="XAUUSD",RIGHT(E286,3)="USD"),(O286-K286)*Z286*AA286*H286,IF(LEFT(E286,3)="USD",IF(O286=0,"",(O286-K286)*Z286*AA286*H286/O286),AD286*10*H286)))</f>
        <v/>
      </c>
      <c r="AJ286" s="28">
        <f>IF(O286="","",IF(S286="",IF(AI286="",0,AI286),S286)-IF(R286="",0,R286))</f>
        <v/>
      </c>
      <c r="AK286" s="18">
        <f>IF(C286="","",IF(OR(O286="",P286=""),"Open",IF(ABS(AJ286)&lt;=BEThreshold,"BE",IF(AJ286&gt;0,"Win","Loss"))))</f>
        <v/>
      </c>
      <c r="AL286" s="28">
        <f>IF(OR(C286="",AK286="Open"),"",InitialCapital+SUMIFS($AJ$2:AJ286,$AK$2:AK286,"&lt;&gt;Open"))</f>
        <v/>
      </c>
      <c r="AM286" s="18">
        <f>IF(OR(C286="",AK286=""),"",IF(AK286="Open","No","Yes"))</f>
        <v/>
      </c>
    </row>
    <row r="287" ht="18" customHeight="1">
      <c r="A287" s="18">
        <f>IF(C287="","",COUNTA($C$2:C287))</f>
        <v/>
      </c>
      <c r="B287" s="18">
        <f>IF(C287="","",TEXT(C287,"dddd"))</f>
        <v/>
      </c>
      <c r="C287" s="19" t="n"/>
      <c r="D287" s="20" t="n"/>
      <c r="E287" s="21" t="n"/>
      <c r="F287" s="21" t="n"/>
      <c r="G287" s="21" t="n"/>
      <c r="H287" s="22" t="n"/>
      <c r="I287" s="23" t="n"/>
      <c r="J287" s="22" t="n"/>
      <c r="K287" s="24" t="n"/>
      <c r="L287" s="24" t="n"/>
      <c r="M287" s="24" t="n"/>
      <c r="N287" s="21" t="n"/>
      <c r="O287" s="24" t="n"/>
      <c r="P287" s="19" t="n"/>
      <c r="Q287" s="20" t="n"/>
      <c r="R287" s="23" t="n"/>
      <c r="S287" s="23" t="n"/>
      <c r="T287" s="21" t="n"/>
      <c r="U287" s="21" t="n"/>
      <c r="V287" s="21" t="n"/>
      <c r="W287" s="21" t="n"/>
      <c r="X287" s="21" t="n"/>
      <c r="Y287" s="25">
        <f>IF($C287="","",IF(E287="XAUUSD",0.1,IF(ISNUMBER(SEARCH("JPY",E287)),0.01,0.0001)))</f>
        <v/>
      </c>
      <c r="Z287" s="18">
        <f>IF($C287="","",IF(F287="Sell",-1,1))</f>
        <v/>
      </c>
      <c r="AA287" s="18">
        <f>IF($C287="","",IF(E287="XAUUSD",100,100000))</f>
        <v/>
      </c>
      <c r="AB287" s="26">
        <f>IF(OR(K287="",L287=""),"",ABS(K287-L287)/Y287)</f>
        <v/>
      </c>
      <c r="AC287" s="26">
        <f>IF(OR(K287="",M287=""),"",ABS(M287-K287)/Y287)</f>
        <v/>
      </c>
      <c r="AD287" s="26">
        <f>IF(OR(K287="",O287=""),"",(O287-K287)*Z287/Y287)</f>
        <v/>
      </c>
      <c r="AE287" s="27">
        <f>IF(OR(AB287="",AB287=0,AC287=""),"",AC287/AB287)</f>
        <v/>
      </c>
      <c r="AF287" s="27">
        <f>IF(OR(AB287="",AB287=0,AD287=""),"",AD287/AB287)</f>
        <v/>
      </c>
      <c r="AG287" s="27">
        <f>IF(OR(C287="",P287=""),"",((P287+IF(Q287="",0,Q287))-(C287+IF(D287="",0,D287)))*24)</f>
        <v/>
      </c>
      <c r="AH287" s="18">
        <f>IF(AG287="","",INT(AG287/24)&amp;"d "&amp;INT(MOD(AG287,24))&amp;"h "&amp;INT(MOD(AG287*60,60))&amp;"m")</f>
        <v/>
      </c>
      <c r="AI287" s="28">
        <f>IF(OR(O287="",K287="",H287=""),"",IF(OR(E287="XAUUSD",RIGHT(E287,3)="USD"),(O287-K287)*Z287*AA287*H287,IF(LEFT(E287,3)="USD",IF(O287=0,"",(O287-K287)*Z287*AA287*H287/O287),AD287*10*H287)))</f>
        <v/>
      </c>
      <c r="AJ287" s="28">
        <f>IF(O287="","",IF(S287="",IF(AI287="",0,AI287),S287)-IF(R287="",0,R287))</f>
        <v/>
      </c>
      <c r="AK287" s="18">
        <f>IF(C287="","",IF(OR(O287="",P287=""),"Open",IF(ABS(AJ287)&lt;=BEThreshold,"BE",IF(AJ287&gt;0,"Win","Loss"))))</f>
        <v/>
      </c>
      <c r="AL287" s="28">
        <f>IF(OR(C287="",AK287="Open"),"",InitialCapital+SUMIFS($AJ$2:AJ287,$AK$2:AK287,"&lt;&gt;Open"))</f>
        <v/>
      </c>
      <c r="AM287" s="18">
        <f>IF(OR(C287="",AK287=""),"",IF(AK287="Open","No","Yes"))</f>
        <v/>
      </c>
    </row>
    <row r="288" ht="18" customHeight="1">
      <c r="A288" s="18">
        <f>IF(C288="","",COUNTA($C$2:C288))</f>
        <v/>
      </c>
      <c r="B288" s="18">
        <f>IF(C288="","",TEXT(C288,"dddd"))</f>
        <v/>
      </c>
      <c r="C288" s="19" t="n"/>
      <c r="D288" s="20" t="n"/>
      <c r="E288" s="21" t="n"/>
      <c r="F288" s="21" t="n"/>
      <c r="G288" s="21" t="n"/>
      <c r="H288" s="22" t="n"/>
      <c r="I288" s="23" t="n"/>
      <c r="J288" s="22" t="n"/>
      <c r="K288" s="24" t="n"/>
      <c r="L288" s="24" t="n"/>
      <c r="M288" s="24" t="n"/>
      <c r="N288" s="21" t="n"/>
      <c r="O288" s="24" t="n"/>
      <c r="P288" s="19" t="n"/>
      <c r="Q288" s="20" t="n"/>
      <c r="R288" s="23" t="n"/>
      <c r="S288" s="23" t="n"/>
      <c r="T288" s="21" t="n"/>
      <c r="U288" s="21" t="n"/>
      <c r="V288" s="21" t="n"/>
      <c r="W288" s="21" t="n"/>
      <c r="X288" s="21" t="n"/>
      <c r="Y288" s="25">
        <f>IF($C288="","",IF(E288="XAUUSD",0.1,IF(ISNUMBER(SEARCH("JPY",E288)),0.01,0.0001)))</f>
        <v/>
      </c>
      <c r="Z288" s="18">
        <f>IF($C288="","",IF(F288="Sell",-1,1))</f>
        <v/>
      </c>
      <c r="AA288" s="18">
        <f>IF($C288="","",IF(E288="XAUUSD",100,100000))</f>
        <v/>
      </c>
      <c r="AB288" s="26">
        <f>IF(OR(K288="",L288=""),"",ABS(K288-L288)/Y288)</f>
        <v/>
      </c>
      <c r="AC288" s="26">
        <f>IF(OR(K288="",M288=""),"",ABS(M288-K288)/Y288)</f>
        <v/>
      </c>
      <c r="AD288" s="26">
        <f>IF(OR(K288="",O288=""),"",(O288-K288)*Z288/Y288)</f>
        <v/>
      </c>
      <c r="AE288" s="27">
        <f>IF(OR(AB288="",AB288=0,AC288=""),"",AC288/AB288)</f>
        <v/>
      </c>
      <c r="AF288" s="27">
        <f>IF(OR(AB288="",AB288=0,AD288=""),"",AD288/AB288)</f>
        <v/>
      </c>
      <c r="AG288" s="27">
        <f>IF(OR(C288="",P288=""),"",((P288+IF(Q288="",0,Q288))-(C288+IF(D288="",0,D288)))*24)</f>
        <v/>
      </c>
      <c r="AH288" s="18">
        <f>IF(AG288="","",INT(AG288/24)&amp;"d "&amp;INT(MOD(AG288,24))&amp;"h "&amp;INT(MOD(AG288*60,60))&amp;"m")</f>
        <v/>
      </c>
      <c r="AI288" s="28">
        <f>IF(OR(O288="",K288="",H288=""),"",IF(OR(E288="XAUUSD",RIGHT(E288,3)="USD"),(O288-K288)*Z288*AA288*H288,IF(LEFT(E288,3)="USD",IF(O288=0,"",(O288-K288)*Z288*AA288*H288/O288),AD288*10*H288)))</f>
        <v/>
      </c>
      <c r="AJ288" s="28">
        <f>IF(O288="","",IF(S288="",IF(AI288="",0,AI288),S288)-IF(R288="",0,R288))</f>
        <v/>
      </c>
      <c r="AK288" s="18">
        <f>IF(C288="","",IF(OR(O288="",P288=""),"Open",IF(ABS(AJ288)&lt;=BEThreshold,"BE",IF(AJ288&gt;0,"Win","Loss"))))</f>
        <v/>
      </c>
      <c r="AL288" s="28">
        <f>IF(OR(C288="",AK288="Open"),"",InitialCapital+SUMIFS($AJ$2:AJ288,$AK$2:AK288,"&lt;&gt;Open"))</f>
        <v/>
      </c>
      <c r="AM288" s="18">
        <f>IF(OR(C288="",AK288=""),"",IF(AK288="Open","No","Yes"))</f>
        <v/>
      </c>
    </row>
    <row r="289" ht="18" customHeight="1">
      <c r="A289" s="18">
        <f>IF(C289="","",COUNTA($C$2:C289))</f>
        <v/>
      </c>
      <c r="B289" s="18">
        <f>IF(C289="","",TEXT(C289,"dddd"))</f>
        <v/>
      </c>
      <c r="C289" s="19" t="n"/>
      <c r="D289" s="20" t="n"/>
      <c r="E289" s="21" t="n"/>
      <c r="F289" s="21" t="n"/>
      <c r="G289" s="21" t="n"/>
      <c r="H289" s="22" t="n"/>
      <c r="I289" s="23" t="n"/>
      <c r="J289" s="22" t="n"/>
      <c r="K289" s="24" t="n"/>
      <c r="L289" s="24" t="n"/>
      <c r="M289" s="24" t="n"/>
      <c r="N289" s="21" t="n"/>
      <c r="O289" s="24" t="n"/>
      <c r="P289" s="19" t="n"/>
      <c r="Q289" s="20" t="n"/>
      <c r="R289" s="23" t="n"/>
      <c r="S289" s="23" t="n"/>
      <c r="T289" s="21" t="n"/>
      <c r="U289" s="21" t="n"/>
      <c r="V289" s="21" t="n"/>
      <c r="W289" s="21" t="n"/>
      <c r="X289" s="21" t="n"/>
      <c r="Y289" s="25">
        <f>IF($C289="","",IF(E289="XAUUSD",0.1,IF(ISNUMBER(SEARCH("JPY",E289)),0.01,0.0001)))</f>
        <v/>
      </c>
      <c r="Z289" s="18">
        <f>IF($C289="","",IF(F289="Sell",-1,1))</f>
        <v/>
      </c>
      <c r="AA289" s="18">
        <f>IF($C289="","",IF(E289="XAUUSD",100,100000))</f>
        <v/>
      </c>
      <c r="AB289" s="26">
        <f>IF(OR(K289="",L289=""),"",ABS(K289-L289)/Y289)</f>
        <v/>
      </c>
      <c r="AC289" s="26">
        <f>IF(OR(K289="",M289=""),"",ABS(M289-K289)/Y289)</f>
        <v/>
      </c>
      <c r="AD289" s="26">
        <f>IF(OR(K289="",O289=""),"",(O289-K289)*Z289/Y289)</f>
        <v/>
      </c>
      <c r="AE289" s="27">
        <f>IF(OR(AB289="",AB289=0,AC289=""),"",AC289/AB289)</f>
        <v/>
      </c>
      <c r="AF289" s="27">
        <f>IF(OR(AB289="",AB289=0,AD289=""),"",AD289/AB289)</f>
        <v/>
      </c>
      <c r="AG289" s="27">
        <f>IF(OR(C289="",P289=""),"",((P289+IF(Q289="",0,Q289))-(C289+IF(D289="",0,D289)))*24)</f>
        <v/>
      </c>
      <c r="AH289" s="18">
        <f>IF(AG289="","",INT(AG289/24)&amp;"d "&amp;INT(MOD(AG289,24))&amp;"h "&amp;INT(MOD(AG289*60,60))&amp;"m")</f>
        <v/>
      </c>
      <c r="AI289" s="28">
        <f>IF(OR(O289="",K289="",H289=""),"",IF(OR(E289="XAUUSD",RIGHT(E289,3)="USD"),(O289-K289)*Z289*AA289*H289,IF(LEFT(E289,3)="USD",IF(O289=0,"",(O289-K289)*Z289*AA289*H289/O289),AD289*10*H289)))</f>
        <v/>
      </c>
      <c r="AJ289" s="28">
        <f>IF(O289="","",IF(S289="",IF(AI289="",0,AI289),S289)-IF(R289="",0,R289))</f>
        <v/>
      </c>
      <c r="AK289" s="18">
        <f>IF(C289="","",IF(OR(O289="",P289=""),"Open",IF(ABS(AJ289)&lt;=BEThreshold,"BE",IF(AJ289&gt;0,"Win","Loss"))))</f>
        <v/>
      </c>
      <c r="AL289" s="28">
        <f>IF(OR(C289="",AK289="Open"),"",InitialCapital+SUMIFS($AJ$2:AJ289,$AK$2:AK289,"&lt;&gt;Open"))</f>
        <v/>
      </c>
      <c r="AM289" s="18">
        <f>IF(OR(C289="",AK289=""),"",IF(AK289="Open","No","Yes"))</f>
        <v/>
      </c>
    </row>
    <row r="290" ht="18" customHeight="1">
      <c r="A290" s="18">
        <f>IF(C290="","",COUNTA($C$2:C290))</f>
        <v/>
      </c>
      <c r="B290" s="18">
        <f>IF(C290="","",TEXT(C290,"dddd"))</f>
        <v/>
      </c>
      <c r="C290" s="19" t="n"/>
      <c r="D290" s="20" t="n"/>
      <c r="E290" s="21" t="n"/>
      <c r="F290" s="21" t="n"/>
      <c r="G290" s="21" t="n"/>
      <c r="H290" s="22" t="n"/>
      <c r="I290" s="23" t="n"/>
      <c r="J290" s="22" t="n"/>
      <c r="K290" s="24" t="n"/>
      <c r="L290" s="24" t="n"/>
      <c r="M290" s="24" t="n"/>
      <c r="N290" s="21" t="n"/>
      <c r="O290" s="24" t="n"/>
      <c r="P290" s="19" t="n"/>
      <c r="Q290" s="20" t="n"/>
      <c r="R290" s="23" t="n"/>
      <c r="S290" s="23" t="n"/>
      <c r="T290" s="21" t="n"/>
      <c r="U290" s="21" t="n"/>
      <c r="V290" s="21" t="n"/>
      <c r="W290" s="21" t="n"/>
      <c r="X290" s="21" t="n"/>
      <c r="Y290" s="25">
        <f>IF($C290="","",IF(E290="XAUUSD",0.1,IF(ISNUMBER(SEARCH("JPY",E290)),0.01,0.0001)))</f>
        <v/>
      </c>
      <c r="Z290" s="18">
        <f>IF($C290="","",IF(F290="Sell",-1,1))</f>
        <v/>
      </c>
      <c r="AA290" s="18">
        <f>IF($C290="","",IF(E290="XAUUSD",100,100000))</f>
        <v/>
      </c>
      <c r="AB290" s="26">
        <f>IF(OR(K290="",L290=""),"",ABS(K290-L290)/Y290)</f>
        <v/>
      </c>
      <c r="AC290" s="26">
        <f>IF(OR(K290="",M290=""),"",ABS(M290-K290)/Y290)</f>
        <v/>
      </c>
      <c r="AD290" s="26">
        <f>IF(OR(K290="",O290=""),"",(O290-K290)*Z290/Y290)</f>
        <v/>
      </c>
      <c r="AE290" s="27">
        <f>IF(OR(AB290="",AB290=0,AC290=""),"",AC290/AB290)</f>
        <v/>
      </c>
      <c r="AF290" s="27">
        <f>IF(OR(AB290="",AB290=0,AD290=""),"",AD290/AB290)</f>
        <v/>
      </c>
      <c r="AG290" s="27">
        <f>IF(OR(C290="",P290=""),"",((P290+IF(Q290="",0,Q290))-(C290+IF(D290="",0,D290)))*24)</f>
        <v/>
      </c>
      <c r="AH290" s="18">
        <f>IF(AG290="","",INT(AG290/24)&amp;"d "&amp;INT(MOD(AG290,24))&amp;"h "&amp;INT(MOD(AG290*60,60))&amp;"m")</f>
        <v/>
      </c>
      <c r="AI290" s="28">
        <f>IF(OR(O290="",K290="",H290=""),"",IF(OR(E290="XAUUSD",RIGHT(E290,3)="USD"),(O290-K290)*Z290*AA290*H290,IF(LEFT(E290,3)="USD",IF(O290=0,"",(O290-K290)*Z290*AA290*H290/O290),AD290*10*H290)))</f>
        <v/>
      </c>
      <c r="AJ290" s="28">
        <f>IF(O290="","",IF(S290="",IF(AI290="",0,AI290),S290)-IF(R290="",0,R290))</f>
        <v/>
      </c>
      <c r="AK290" s="18">
        <f>IF(C290="","",IF(OR(O290="",P290=""),"Open",IF(ABS(AJ290)&lt;=BEThreshold,"BE",IF(AJ290&gt;0,"Win","Loss"))))</f>
        <v/>
      </c>
      <c r="AL290" s="28">
        <f>IF(OR(C290="",AK290="Open"),"",InitialCapital+SUMIFS($AJ$2:AJ290,$AK$2:AK290,"&lt;&gt;Open"))</f>
        <v/>
      </c>
      <c r="AM290" s="18">
        <f>IF(OR(C290="",AK290=""),"",IF(AK290="Open","No","Yes"))</f>
        <v/>
      </c>
    </row>
    <row r="291" ht="18" customHeight="1">
      <c r="A291" s="18">
        <f>IF(C291="","",COUNTA($C$2:C291))</f>
        <v/>
      </c>
      <c r="B291" s="18">
        <f>IF(C291="","",TEXT(C291,"dddd"))</f>
        <v/>
      </c>
      <c r="C291" s="19" t="n"/>
      <c r="D291" s="20" t="n"/>
      <c r="E291" s="21" t="n"/>
      <c r="F291" s="21" t="n"/>
      <c r="G291" s="21" t="n"/>
      <c r="H291" s="22" t="n"/>
      <c r="I291" s="23" t="n"/>
      <c r="J291" s="22" t="n"/>
      <c r="K291" s="24" t="n"/>
      <c r="L291" s="24" t="n"/>
      <c r="M291" s="24" t="n"/>
      <c r="N291" s="21" t="n"/>
      <c r="O291" s="24" t="n"/>
      <c r="P291" s="19" t="n"/>
      <c r="Q291" s="20" t="n"/>
      <c r="R291" s="23" t="n"/>
      <c r="S291" s="23" t="n"/>
      <c r="T291" s="21" t="n"/>
      <c r="U291" s="21" t="n"/>
      <c r="V291" s="21" t="n"/>
      <c r="W291" s="21" t="n"/>
      <c r="X291" s="21" t="n"/>
      <c r="Y291" s="25">
        <f>IF($C291="","",IF(E291="XAUUSD",0.1,IF(ISNUMBER(SEARCH("JPY",E291)),0.01,0.0001)))</f>
        <v/>
      </c>
      <c r="Z291" s="18">
        <f>IF($C291="","",IF(F291="Sell",-1,1))</f>
        <v/>
      </c>
      <c r="AA291" s="18">
        <f>IF($C291="","",IF(E291="XAUUSD",100,100000))</f>
        <v/>
      </c>
      <c r="AB291" s="26">
        <f>IF(OR(K291="",L291=""),"",ABS(K291-L291)/Y291)</f>
        <v/>
      </c>
      <c r="AC291" s="26">
        <f>IF(OR(K291="",M291=""),"",ABS(M291-K291)/Y291)</f>
        <v/>
      </c>
      <c r="AD291" s="26">
        <f>IF(OR(K291="",O291=""),"",(O291-K291)*Z291/Y291)</f>
        <v/>
      </c>
      <c r="AE291" s="27">
        <f>IF(OR(AB291="",AB291=0,AC291=""),"",AC291/AB291)</f>
        <v/>
      </c>
      <c r="AF291" s="27">
        <f>IF(OR(AB291="",AB291=0,AD291=""),"",AD291/AB291)</f>
        <v/>
      </c>
      <c r="AG291" s="27">
        <f>IF(OR(C291="",P291=""),"",((P291+IF(Q291="",0,Q291))-(C291+IF(D291="",0,D291)))*24)</f>
        <v/>
      </c>
      <c r="AH291" s="18">
        <f>IF(AG291="","",INT(AG291/24)&amp;"d "&amp;INT(MOD(AG291,24))&amp;"h "&amp;INT(MOD(AG291*60,60))&amp;"m")</f>
        <v/>
      </c>
      <c r="AI291" s="28">
        <f>IF(OR(O291="",K291="",H291=""),"",IF(OR(E291="XAUUSD",RIGHT(E291,3)="USD"),(O291-K291)*Z291*AA291*H291,IF(LEFT(E291,3)="USD",IF(O291=0,"",(O291-K291)*Z291*AA291*H291/O291),AD291*10*H291)))</f>
        <v/>
      </c>
      <c r="AJ291" s="28">
        <f>IF(O291="","",IF(S291="",IF(AI291="",0,AI291),S291)-IF(R291="",0,R291))</f>
        <v/>
      </c>
      <c r="AK291" s="18">
        <f>IF(C291="","",IF(OR(O291="",P291=""),"Open",IF(ABS(AJ291)&lt;=BEThreshold,"BE",IF(AJ291&gt;0,"Win","Loss"))))</f>
        <v/>
      </c>
      <c r="AL291" s="28">
        <f>IF(OR(C291="",AK291="Open"),"",InitialCapital+SUMIFS($AJ$2:AJ291,$AK$2:AK291,"&lt;&gt;Open"))</f>
        <v/>
      </c>
      <c r="AM291" s="18">
        <f>IF(OR(C291="",AK291=""),"",IF(AK291="Open","No","Yes"))</f>
        <v/>
      </c>
    </row>
    <row r="292" ht="18" customHeight="1">
      <c r="A292" s="18">
        <f>IF(C292="","",COUNTA($C$2:C292))</f>
        <v/>
      </c>
      <c r="B292" s="18">
        <f>IF(C292="","",TEXT(C292,"dddd"))</f>
        <v/>
      </c>
      <c r="C292" s="19" t="n"/>
      <c r="D292" s="20" t="n"/>
      <c r="E292" s="21" t="n"/>
      <c r="F292" s="21" t="n"/>
      <c r="G292" s="21" t="n"/>
      <c r="H292" s="22" t="n"/>
      <c r="I292" s="23" t="n"/>
      <c r="J292" s="22" t="n"/>
      <c r="K292" s="24" t="n"/>
      <c r="L292" s="24" t="n"/>
      <c r="M292" s="24" t="n"/>
      <c r="N292" s="21" t="n"/>
      <c r="O292" s="24" t="n"/>
      <c r="P292" s="19" t="n"/>
      <c r="Q292" s="20" t="n"/>
      <c r="R292" s="23" t="n"/>
      <c r="S292" s="23" t="n"/>
      <c r="T292" s="21" t="n"/>
      <c r="U292" s="21" t="n"/>
      <c r="V292" s="21" t="n"/>
      <c r="W292" s="21" t="n"/>
      <c r="X292" s="21" t="n"/>
      <c r="Y292" s="25">
        <f>IF($C292="","",IF(E292="XAUUSD",0.1,IF(ISNUMBER(SEARCH("JPY",E292)),0.01,0.0001)))</f>
        <v/>
      </c>
      <c r="Z292" s="18">
        <f>IF($C292="","",IF(F292="Sell",-1,1))</f>
        <v/>
      </c>
      <c r="AA292" s="18">
        <f>IF($C292="","",IF(E292="XAUUSD",100,100000))</f>
        <v/>
      </c>
      <c r="AB292" s="26">
        <f>IF(OR(K292="",L292=""),"",ABS(K292-L292)/Y292)</f>
        <v/>
      </c>
      <c r="AC292" s="26">
        <f>IF(OR(K292="",M292=""),"",ABS(M292-K292)/Y292)</f>
        <v/>
      </c>
      <c r="AD292" s="26">
        <f>IF(OR(K292="",O292=""),"",(O292-K292)*Z292/Y292)</f>
        <v/>
      </c>
      <c r="AE292" s="27">
        <f>IF(OR(AB292="",AB292=0,AC292=""),"",AC292/AB292)</f>
        <v/>
      </c>
      <c r="AF292" s="27">
        <f>IF(OR(AB292="",AB292=0,AD292=""),"",AD292/AB292)</f>
        <v/>
      </c>
      <c r="AG292" s="27">
        <f>IF(OR(C292="",P292=""),"",((P292+IF(Q292="",0,Q292))-(C292+IF(D292="",0,D292)))*24)</f>
        <v/>
      </c>
      <c r="AH292" s="18">
        <f>IF(AG292="","",INT(AG292/24)&amp;"d "&amp;INT(MOD(AG292,24))&amp;"h "&amp;INT(MOD(AG292*60,60))&amp;"m")</f>
        <v/>
      </c>
      <c r="AI292" s="28">
        <f>IF(OR(O292="",K292="",H292=""),"",IF(OR(E292="XAUUSD",RIGHT(E292,3)="USD"),(O292-K292)*Z292*AA292*H292,IF(LEFT(E292,3)="USD",IF(O292=0,"",(O292-K292)*Z292*AA292*H292/O292),AD292*10*H292)))</f>
        <v/>
      </c>
      <c r="AJ292" s="28">
        <f>IF(O292="","",IF(S292="",IF(AI292="",0,AI292),S292)-IF(R292="",0,R292))</f>
        <v/>
      </c>
      <c r="AK292" s="18">
        <f>IF(C292="","",IF(OR(O292="",P292=""),"Open",IF(ABS(AJ292)&lt;=BEThreshold,"BE",IF(AJ292&gt;0,"Win","Loss"))))</f>
        <v/>
      </c>
      <c r="AL292" s="28">
        <f>IF(OR(C292="",AK292="Open"),"",InitialCapital+SUMIFS($AJ$2:AJ292,$AK$2:AK292,"&lt;&gt;Open"))</f>
        <v/>
      </c>
      <c r="AM292" s="18">
        <f>IF(OR(C292="",AK292=""),"",IF(AK292="Open","No","Yes"))</f>
        <v/>
      </c>
    </row>
    <row r="293" ht="18" customHeight="1">
      <c r="A293" s="18">
        <f>IF(C293="","",COUNTA($C$2:C293))</f>
        <v/>
      </c>
      <c r="B293" s="18">
        <f>IF(C293="","",TEXT(C293,"dddd"))</f>
        <v/>
      </c>
      <c r="C293" s="19" t="n"/>
      <c r="D293" s="20" t="n"/>
      <c r="E293" s="21" t="n"/>
      <c r="F293" s="21" t="n"/>
      <c r="G293" s="21" t="n"/>
      <c r="H293" s="22" t="n"/>
      <c r="I293" s="23" t="n"/>
      <c r="J293" s="22" t="n"/>
      <c r="K293" s="24" t="n"/>
      <c r="L293" s="24" t="n"/>
      <c r="M293" s="24" t="n"/>
      <c r="N293" s="21" t="n"/>
      <c r="O293" s="24" t="n"/>
      <c r="P293" s="19" t="n"/>
      <c r="Q293" s="20" t="n"/>
      <c r="R293" s="23" t="n"/>
      <c r="S293" s="23" t="n"/>
      <c r="T293" s="21" t="n"/>
      <c r="U293" s="21" t="n"/>
      <c r="V293" s="21" t="n"/>
      <c r="W293" s="21" t="n"/>
      <c r="X293" s="21" t="n"/>
      <c r="Y293" s="25">
        <f>IF($C293="","",IF(E293="XAUUSD",0.1,IF(ISNUMBER(SEARCH("JPY",E293)),0.01,0.0001)))</f>
        <v/>
      </c>
      <c r="Z293" s="18">
        <f>IF($C293="","",IF(F293="Sell",-1,1))</f>
        <v/>
      </c>
      <c r="AA293" s="18">
        <f>IF($C293="","",IF(E293="XAUUSD",100,100000))</f>
        <v/>
      </c>
      <c r="AB293" s="26">
        <f>IF(OR(K293="",L293=""),"",ABS(K293-L293)/Y293)</f>
        <v/>
      </c>
      <c r="AC293" s="26">
        <f>IF(OR(K293="",M293=""),"",ABS(M293-K293)/Y293)</f>
        <v/>
      </c>
      <c r="AD293" s="26">
        <f>IF(OR(K293="",O293=""),"",(O293-K293)*Z293/Y293)</f>
        <v/>
      </c>
      <c r="AE293" s="27">
        <f>IF(OR(AB293="",AB293=0,AC293=""),"",AC293/AB293)</f>
        <v/>
      </c>
      <c r="AF293" s="27">
        <f>IF(OR(AB293="",AB293=0,AD293=""),"",AD293/AB293)</f>
        <v/>
      </c>
      <c r="AG293" s="27">
        <f>IF(OR(C293="",P293=""),"",((P293+IF(Q293="",0,Q293))-(C293+IF(D293="",0,D293)))*24)</f>
        <v/>
      </c>
      <c r="AH293" s="18">
        <f>IF(AG293="","",INT(AG293/24)&amp;"d "&amp;INT(MOD(AG293,24))&amp;"h "&amp;INT(MOD(AG293*60,60))&amp;"m")</f>
        <v/>
      </c>
      <c r="AI293" s="28">
        <f>IF(OR(O293="",K293="",H293=""),"",IF(OR(E293="XAUUSD",RIGHT(E293,3)="USD"),(O293-K293)*Z293*AA293*H293,IF(LEFT(E293,3)="USD",IF(O293=0,"",(O293-K293)*Z293*AA293*H293/O293),AD293*10*H293)))</f>
        <v/>
      </c>
      <c r="AJ293" s="28">
        <f>IF(O293="","",IF(S293="",IF(AI293="",0,AI293),S293)-IF(R293="",0,R293))</f>
        <v/>
      </c>
      <c r="AK293" s="18">
        <f>IF(C293="","",IF(OR(O293="",P293=""),"Open",IF(ABS(AJ293)&lt;=BEThreshold,"BE",IF(AJ293&gt;0,"Win","Loss"))))</f>
        <v/>
      </c>
      <c r="AL293" s="28">
        <f>IF(OR(C293="",AK293="Open"),"",InitialCapital+SUMIFS($AJ$2:AJ293,$AK$2:AK293,"&lt;&gt;Open"))</f>
        <v/>
      </c>
      <c r="AM293" s="18">
        <f>IF(OR(C293="",AK293=""),"",IF(AK293="Open","No","Yes"))</f>
        <v/>
      </c>
    </row>
    <row r="294" ht="18" customHeight="1">
      <c r="A294" s="18">
        <f>IF(C294="","",COUNTA($C$2:C294))</f>
        <v/>
      </c>
      <c r="B294" s="18">
        <f>IF(C294="","",TEXT(C294,"dddd"))</f>
        <v/>
      </c>
      <c r="C294" s="19" t="n"/>
      <c r="D294" s="20" t="n"/>
      <c r="E294" s="21" t="n"/>
      <c r="F294" s="21" t="n"/>
      <c r="G294" s="21" t="n"/>
      <c r="H294" s="22" t="n"/>
      <c r="I294" s="23" t="n"/>
      <c r="J294" s="22" t="n"/>
      <c r="K294" s="24" t="n"/>
      <c r="L294" s="24" t="n"/>
      <c r="M294" s="24" t="n"/>
      <c r="N294" s="21" t="n"/>
      <c r="O294" s="24" t="n"/>
      <c r="P294" s="19" t="n"/>
      <c r="Q294" s="20" t="n"/>
      <c r="R294" s="23" t="n"/>
      <c r="S294" s="23" t="n"/>
      <c r="T294" s="21" t="n"/>
      <c r="U294" s="21" t="n"/>
      <c r="V294" s="21" t="n"/>
      <c r="W294" s="21" t="n"/>
      <c r="X294" s="21" t="n"/>
      <c r="Y294" s="25">
        <f>IF($C294="","",IF(E294="XAUUSD",0.1,IF(ISNUMBER(SEARCH("JPY",E294)),0.01,0.0001)))</f>
        <v/>
      </c>
      <c r="Z294" s="18">
        <f>IF($C294="","",IF(F294="Sell",-1,1))</f>
        <v/>
      </c>
      <c r="AA294" s="18">
        <f>IF($C294="","",IF(E294="XAUUSD",100,100000))</f>
        <v/>
      </c>
      <c r="AB294" s="26">
        <f>IF(OR(K294="",L294=""),"",ABS(K294-L294)/Y294)</f>
        <v/>
      </c>
      <c r="AC294" s="26">
        <f>IF(OR(K294="",M294=""),"",ABS(M294-K294)/Y294)</f>
        <v/>
      </c>
      <c r="AD294" s="26">
        <f>IF(OR(K294="",O294=""),"",(O294-K294)*Z294/Y294)</f>
        <v/>
      </c>
      <c r="AE294" s="27">
        <f>IF(OR(AB294="",AB294=0,AC294=""),"",AC294/AB294)</f>
        <v/>
      </c>
      <c r="AF294" s="27">
        <f>IF(OR(AB294="",AB294=0,AD294=""),"",AD294/AB294)</f>
        <v/>
      </c>
      <c r="AG294" s="27">
        <f>IF(OR(C294="",P294=""),"",((P294+IF(Q294="",0,Q294))-(C294+IF(D294="",0,D294)))*24)</f>
        <v/>
      </c>
      <c r="AH294" s="18">
        <f>IF(AG294="","",INT(AG294/24)&amp;"d "&amp;INT(MOD(AG294,24))&amp;"h "&amp;INT(MOD(AG294*60,60))&amp;"m")</f>
        <v/>
      </c>
      <c r="AI294" s="28">
        <f>IF(OR(O294="",K294="",H294=""),"",IF(OR(E294="XAUUSD",RIGHT(E294,3)="USD"),(O294-K294)*Z294*AA294*H294,IF(LEFT(E294,3)="USD",IF(O294=0,"",(O294-K294)*Z294*AA294*H294/O294),AD294*10*H294)))</f>
        <v/>
      </c>
      <c r="AJ294" s="28">
        <f>IF(O294="","",IF(S294="",IF(AI294="",0,AI294),S294)-IF(R294="",0,R294))</f>
        <v/>
      </c>
      <c r="AK294" s="18">
        <f>IF(C294="","",IF(OR(O294="",P294=""),"Open",IF(ABS(AJ294)&lt;=BEThreshold,"BE",IF(AJ294&gt;0,"Win","Loss"))))</f>
        <v/>
      </c>
      <c r="AL294" s="28">
        <f>IF(OR(C294="",AK294="Open"),"",InitialCapital+SUMIFS($AJ$2:AJ294,$AK$2:AK294,"&lt;&gt;Open"))</f>
        <v/>
      </c>
      <c r="AM294" s="18">
        <f>IF(OR(C294="",AK294=""),"",IF(AK294="Open","No","Yes"))</f>
        <v/>
      </c>
    </row>
    <row r="295" ht="18" customHeight="1">
      <c r="A295" s="18">
        <f>IF(C295="","",COUNTA($C$2:C295))</f>
        <v/>
      </c>
      <c r="B295" s="18">
        <f>IF(C295="","",TEXT(C295,"dddd"))</f>
        <v/>
      </c>
      <c r="C295" s="19" t="n"/>
      <c r="D295" s="20" t="n"/>
      <c r="E295" s="21" t="n"/>
      <c r="F295" s="21" t="n"/>
      <c r="G295" s="21" t="n"/>
      <c r="H295" s="22" t="n"/>
      <c r="I295" s="23" t="n"/>
      <c r="J295" s="22" t="n"/>
      <c r="K295" s="24" t="n"/>
      <c r="L295" s="24" t="n"/>
      <c r="M295" s="24" t="n"/>
      <c r="N295" s="21" t="n"/>
      <c r="O295" s="24" t="n"/>
      <c r="P295" s="19" t="n"/>
      <c r="Q295" s="20" t="n"/>
      <c r="R295" s="23" t="n"/>
      <c r="S295" s="23" t="n"/>
      <c r="T295" s="21" t="n"/>
      <c r="U295" s="21" t="n"/>
      <c r="V295" s="21" t="n"/>
      <c r="W295" s="21" t="n"/>
      <c r="X295" s="21" t="n"/>
      <c r="Y295" s="25">
        <f>IF($C295="","",IF(E295="XAUUSD",0.1,IF(ISNUMBER(SEARCH("JPY",E295)),0.01,0.0001)))</f>
        <v/>
      </c>
      <c r="Z295" s="18">
        <f>IF($C295="","",IF(F295="Sell",-1,1))</f>
        <v/>
      </c>
      <c r="AA295" s="18">
        <f>IF($C295="","",IF(E295="XAUUSD",100,100000))</f>
        <v/>
      </c>
      <c r="AB295" s="26">
        <f>IF(OR(K295="",L295=""),"",ABS(K295-L295)/Y295)</f>
        <v/>
      </c>
      <c r="AC295" s="26">
        <f>IF(OR(K295="",M295=""),"",ABS(M295-K295)/Y295)</f>
        <v/>
      </c>
      <c r="AD295" s="26">
        <f>IF(OR(K295="",O295=""),"",(O295-K295)*Z295/Y295)</f>
        <v/>
      </c>
      <c r="AE295" s="27">
        <f>IF(OR(AB295="",AB295=0,AC295=""),"",AC295/AB295)</f>
        <v/>
      </c>
      <c r="AF295" s="27">
        <f>IF(OR(AB295="",AB295=0,AD295=""),"",AD295/AB295)</f>
        <v/>
      </c>
      <c r="AG295" s="27">
        <f>IF(OR(C295="",P295=""),"",((P295+IF(Q295="",0,Q295))-(C295+IF(D295="",0,D295)))*24)</f>
        <v/>
      </c>
      <c r="AH295" s="18">
        <f>IF(AG295="","",INT(AG295/24)&amp;"d "&amp;INT(MOD(AG295,24))&amp;"h "&amp;INT(MOD(AG295*60,60))&amp;"m")</f>
        <v/>
      </c>
      <c r="AI295" s="28">
        <f>IF(OR(O295="",K295="",H295=""),"",IF(OR(E295="XAUUSD",RIGHT(E295,3)="USD"),(O295-K295)*Z295*AA295*H295,IF(LEFT(E295,3)="USD",IF(O295=0,"",(O295-K295)*Z295*AA295*H295/O295),AD295*10*H295)))</f>
        <v/>
      </c>
      <c r="AJ295" s="28">
        <f>IF(O295="","",IF(S295="",IF(AI295="",0,AI295),S295)-IF(R295="",0,R295))</f>
        <v/>
      </c>
      <c r="AK295" s="18">
        <f>IF(C295="","",IF(OR(O295="",P295=""),"Open",IF(ABS(AJ295)&lt;=BEThreshold,"BE",IF(AJ295&gt;0,"Win","Loss"))))</f>
        <v/>
      </c>
      <c r="AL295" s="28">
        <f>IF(OR(C295="",AK295="Open"),"",InitialCapital+SUMIFS($AJ$2:AJ295,$AK$2:AK295,"&lt;&gt;Open"))</f>
        <v/>
      </c>
      <c r="AM295" s="18">
        <f>IF(OR(C295="",AK295=""),"",IF(AK295="Open","No","Yes"))</f>
        <v/>
      </c>
    </row>
    <row r="296" ht="18" customHeight="1">
      <c r="A296" s="18">
        <f>IF(C296="","",COUNTA($C$2:C296))</f>
        <v/>
      </c>
      <c r="B296" s="18">
        <f>IF(C296="","",TEXT(C296,"dddd"))</f>
        <v/>
      </c>
      <c r="C296" s="19" t="n"/>
      <c r="D296" s="20" t="n"/>
      <c r="E296" s="21" t="n"/>
      <c r="F296" s="21" t="n"/>
      <c r="G296" s="21" t="n"/>
      <c r="H296" s="22" t="n"/>
      <c r="I296" s="23" t="n"/>
      <c r="J296" s="22" t="n"/>
      <c r="K296" s="24" t="n"/>
      <c r="L296" s="24" t="n"/>
      <c r="M296" s="24" t="n"/>
      <c r="N296" s="21" t="n"/>
      <c r="O296" s="24" t="n"/>
      <c r="P296" s="19" t="n"/>
      <c r="Q296" s="20" t="n"/>
      <c r="R296" s="23" t="n"/>
      <c r="S296" s="23" t="n"/>
      <c r="T296" s="21" t="n"/>
      <c r="U296" s="21" t="n"/>
      <c r="V296" s="21" t="n"/>
      <c r="W296" s="21" t="n"/>
      <c r="X296" s="21" t="n"/>
      <c r="Y296" s="25">
        <f>IF($C296="","",IF(E296="XAUUSD",0.1,IF(ISNUMBER(SEARCH("JPY",E296)),0.01,0.0001)))</f>
        <v/>
      </c>
      <c r="Z296" s="18">
        <f>IF($C296="","",IF(F296="Sell",-1,1))</f>
        <v/>
      </c>
      <c r="AA296" s="18">
        <f>IF($C296="","",IF(E296="XAUUSD",100,100000))</f>
        <v/>
      </c>
      <c r="AB296" s="26">
        <f>IF(OR(K296="",L296=""),"",ABS(K296-L296)/Y296)</f>
        <v/>
      </c>
      <c r="AC296" s="26">
        <f>IF(OR(K296="",M296=""),"",ABS(M296-K296)/Y296)</f>
        <v/>
      </c>
      <c r="AD296" s="26">
        <f>IF(OR(K296="",O296=""),"",(O296-K296)*Z296/Y296)</f>
        <v/>
      </c>
      <c r="AE296" s="27">
        <f>IF(OR(AB296="",AB296=0,AC296=""),"",AC296/AB296)</f>
        <v/>
      </c>
      <c r="AF296" s="27">
        <f>IF(OR(AB296="",AB296=0,AD296=""),"",AD296/AB296)</f>
        <v/>
      </c>
      <c r="AG296" s="27">
        <f>IF(OR(C296="",P296=""),"",((P296+IF(Q296="",0,Q296))-(C296+IF(D296="",0,D296)))*24)</f>
        <v/>
      </c>
      <c r="AH296" s="18">
        <f>IF(AG296="","",INT(AG296/24)&amp;"d "&amp;INT(MOD(AG296,24))&amp;"h "&amp;INT(MOD(AG296*60,60))&amp;"m")</f>
        <v/>
      </c>
      <c r="AI296" s="28">
        <f>IF(OR(O296="",K296="",H296=""),"",IF(OR(E296="XAUUSD",RIGHT(E296,3)="USD"),(O296-K296)*Z296*AA296*H296,IF(LEFT(E296,3)="USD",IF(O296=0,"",(O296-K296)*Z296*AA296*H296/O296),AD296*10*H296)))</f>
        <v/>
      </c>
      <c r="AJ296" s="28">
        <f>IF(O296="","",IF(S296="",IF(AI296="",0,AI296),S296)-IF(R296="",0,R296))</f>
        <v/>
      </c>
      <c r="AK296" s="18">
        <f>IF(C296="","",IF(OR(O296="",P296=""),"Open",IF(ABS(AJ296)&lt;=BEThreshold,"BE",IF(AJ296&gt;0,"Win","Loss"))))</f>
        <v/>
      </c>
      <c r="AL296" s="28">
        <f>IF(OR(C296="",AK296="Open"),"",InitialCapital+SUMIFS($AJ$2:AJ296,$AK$2:AK296,"&lt;&gt;Open"))</f>
        <v/>
      </c>
      <c r="AM296" s="18">
        <f>IF(OR(C296="",AK296=""),"",IF(AK296="Open","No","Yes"))</f>
        <v/>
      </c>
    </row>
    <row r="297" ht="18" customHeight="1">
      <c r="A297" s="18">
        <f>IF(C297="","",COUNTA($C$2:C297))</f>
        <v/>
      </c>
      <c r="B297" s="18">
        <f>IF(C297="","",TEXT(C297,"dddd"))</f>
        <v/>
      </c>
      <c r="C297" s="19" t="n"/>
      <c r="D297" s="20" t="n"/>
      <c r="E297" s="21" t="n"/>
      <c r="F297" s="21" t="n"/>
      <c r="G297" s="21" t="n"/>
      <c r="H297" s="22" t="n"/>
      <c r="I297" s="23" t="n"/>
      <c r="J297" s="22" t="n"/>
      <c r="K297" s="24" t="n"/>
      <c r="L297" s="24" t="n"/>
      <c r="M297" s="24" t="n"/>
      <c r="N297" s="21" t="n"/>
      <c r="O297" s="24" t="n"/>
      <c r="P297" s="19" t="n"/>
      <c r="Q297" s="20" t="n"/>
      <c r="R297" s="23" t="n"/>
      <c r="S297" s="23" t="n"/>
      <c r="T297" s="21" t="n"/>
      <c r="U297" s="21" t="n"/>
      <c r="V297" s="21" t="n"/>
      <c r="W297" s="21" t="n"/>
      <c r="X297" s="21" t="n"/>
      <c r="Y297" s="25">
        <f>IF($C297="","",IF(E297="XAUUSD",0.1,IF(ISNUMBER(SEARCH("JPY",E297)),0.01,0.0001)))</f>
        <v/>
      </c>
      <c r="Z297" s="18">
        <f>IF($C297="","",IF(F297="Sell",-1,1))</f>
        <v/>
      </c>
      <c r="AA297" s="18">
        <f>IF($C297="","",IF(E297="XAUUSD",100,100000))</f>
        <v/>
      </c>
      <c r="AB297" s="26">
        <f>IF(OR(K297="",L297=""),"",ABS(K297-L297)/Y297)</f>
        <v/>
      </c>
      <c r="AC297" s="26">
        <f>IF(OR(K297="",M297=""),"",ABS(M297-K297)/Y297)</f>
        <v/>
      </c>
      <c r="AD297" s="26">
        <f>IF(OR(K297="",O297=""),"",(O297-K297)*Z297/Y297)</f>
        <v/>
      </c>
      <c r="AE297" s="27">
        <f>IF(OR(AB297="",AB297=0,AC297=""),"",AC297/AB297)</f>
        <v/>
      </c>
      <c r="AF297" s="27">
        <f>IF(OR(AB297="",AB297=0,AD297=""),"",AD297/AB297)</f>
        <v/>
      </c>
      <c r="AG297" s="27">
        <f>IF(OR(C297="",P297=""),"",((P297+IF(Q297="",0,Q297))-(C297+IF(D297="",0,D297)))*24)</f>
        <v/>
      </c>
      <c r="AH297" s="18">
        <f>IF(AG297="","",INT(AG297/24)&amp;"d "&amp;INT(MOD(AG297,24))&amp;"h "&amp;INT(MOD(AG297*60,60))&amp;"m")</f>
        <v/>
      </c>
      <c r="AI297" s="28">
        <f>IF(OR(O297="",K297="",H297=""),"",IF(OR(E297="XAUUSD",RIGHT(E297,3)="USD"),(O297-K297)*Z297*AA297*H297,IF(LEFT(E297,3)="USD",IF(O297=0,"",(O297-K297)*Z297*AA297*H297/O297),AD297*10*H297)))</f>
        <v/>
      </c>
      <c r="AJ297" s="28">
        <f>IF(O297="","",IF(S297="",IF(AI297="",0,AI297),S297)-IF(R297="",0,R297))</f>
        <v/>
      </c>
      <c r="AK297" s="18">
        <f>IF(C297="","",IF(OR(O297="",P297=""),"Open",IF(ABS(AJ297)&lt;=BEThreshold,"BE",IF(AJ297&gt;0,"Win","Loss"))))</f>
        <v/>
      </c>
      <c r="AL297" s="28">
        <f>IF(OR(C297="",AK297="Open"),"",InitialCapital+SUMIFS($AJ$2:AJ297,$AK$2:AK297,"&lt;&gt;Open"))</f>
        <v/>
      </c>
      <c r="AM297" s="18">
        <f>IF(OR(C297="",AK297=""),"",IF(AK297="Open","No","Yes"))</f>
        <v/>
      </c>
    </row>
    <row r="298" ht="18" customHeight="1">
      <c r="A298" s="18">
        <f>IF(C298="","",COUNTA($C$2:C298))</f>
        <v/>
      </c>
      <c r="B298" s="18">
        <f>IF(C298="","",TEXT(C298,"dddd"))</f>
        <v/>
      </c>
      <c r="C298" s="19" t="n"/>
      <c r="D298" s="20" t="n"/>
      <c r="E298" s="21" t="n"/>
      <c r="F298" s="21" t="n"/>
      <c r="G298" s="21" t="n"/>
      <c r="H298" s="22" t="n"/>
      <c r="I298" s="23" t="n"/>
      <c r="J298" s="22" t="n"/>
      <c r="K298" s="24" t="n"/>
      <c r="L298" s="24" t="n"/>
      <c r="M298" s="24" t="n"/>
      <c r="N298" s="21" t="n"/>
      <c r="O298" s="24" t="n"/>
      <c r="P298" s="19" t="n"/>
      <c r="Q298" s="20" t="n"/>
      <c r="R298" s="23" t="n"/>
      <c r="S298" s="23" t="n"/>
      <c r="T298" s="21" t="n"/>
      <c r="U298" s="21" t="n"/>
      <c r="V298" s="21" t="n"/>
      <c r="W298" s="21" t="n"/>
      <c r="X298" s="21" t="n"/>
      <c r="Y298" s="25">
        <f>IF($C298="","",IF(E298="XAUUSD",0.1,IF(ISNUMBER(SEARCH("JPY",E298)),0.01,0.0001)))</f>
        <v/>
      </c>
      <c r="Z298" s="18">
        <f>IF($C298="","",IF(F298="Sell",-1,1))</f>
        <v/>
      </c>
      <c r="AA298" s="18">
        <f>IF($C298="","",IF(E298="XAUUSD",100,100000))</f>
        <v/>
      </c>
      <c r="AB298" s="26">
        <f>IF(OR(K298="",L298=""),"",ABS(K298-L298)/Y298)</f>
        <v/>
      </c>
      <c r="AC298" s="26">
        <f>IF(OR(K298="",M298=""),"",ABS(M298-K298)/Y298)</f>
        <v/>
      </c>
      <c r="AD298" s="26">
        <f>IF(OR(K298="",O298=""),"",(O298-K298)*Z298/Y298)</f>
        <v/>
      </c>
      <c r="AE298" s="27">
        <f>IF(OR(AB298="",AB298=0,AC298=""),"",AC298/AB298)</f>
        <v/>
      </c>
      <c r="AF298" s="27">
        <f>IF(OR(AB298="",AB298=0,AD298=""),"",AD298/AB298)</f>
        <v/>
      </c>
      <c r="AG298" s="27">
        <f>IF(OR(C298="",P298=""),"",((P298+IF(Q298="",0,Q298))-(C298+IF(D298="",0,D298)))*24)</f>
        <v/>
      </c>
      <c r="AH298" s="18">
        <f>IF(AG298="","",INT(AG298/24)&amp;"d "&amp;INT(MOD(AG298,24))&amp;"h "&amp;INT(MOD(AG298*60,60))&amp;"m")</f>
        <v/>
      </c>
      <c r="AI298" s="28">
        <f>IF(OR(O298="",K298="",H298=""),"",IF(OR(E298="XAUUSD",RIGHT(E298,3)="USD"),(O298-K298)*Z298*AA298*H298,IF(LEFT(E298,3)="USD",IF(O298=0,"",(O298-K298)*Z298*AA298*H298/O298),AD298*10*H298)))</f>
        <v/>
      </c>
      <c r="AJ298" s="28">
        <f>IF(O298="","",IF(S298="",IF(AI298="",0,AI298),S298)-IF(R298="",0,R298))</f>
        <v/>
      </c>
      <c r="AK298" s="18">
        <f>IF(C298="","",IF(OR(O298="",P298=""),"Open",IF(ABS(AJ298)&lt;=BEThreshold,"BE",IF(AJ298&gt;0,"Win","Loss"))))</f>
        <v/>
      </c>
      <c r="AL298" s="28">
        <f>IF(OR(C298="",AK298="Open"),"",InitialCapital+SUMIFS($AJ$2:AJ298,$AK$2:AK298,"&lt;&gt;Open"))</f>
        <v/>
      </c>
      <c r="AM298" s="18">
        <f>IF(OR(C298="",AK298=""),"",IF(AK298="Open","No","Yes"))</f>
        <v/>
      </c>
    </row>
    <row r="299" ht="18" customHeight="1">
      <c r="A299" s="18">
        <f>IF(C299="","",COUNTA($C$2:C299))</f>
        <v/>
      </c>
      <c r="B299" s="18">
        <f>IF(C299="","",TEXT(C299,"dddd"))</f>
        <v/>
      </c>
      <c r="C299" s="19" t="n"/>
      <c r="D299" s="20" t="n"/>
      <c r="E299" s="21" t="n"/>
      <c r="F299" s="21" t="n"/>
      <c r="G299" s="21" t="n"/>
      <c r="H299" s="22" t="n"/>
      <c r="I299" s="23" t="n"/>
      <c r="J299" s="22" t="n"/>
      <c r="K299" s="24" t="n"/>
      <c r="L299" s="24" t="n"/>
      <c r="M299" s="24" t="n"/>
      <c r="N299" s="21" t="n"/>
      <c r="O299" s="24" t="n"/>
      <c r="P299" s="19" t="n"/>
      <c r="Q299" s="20" t="n"/>
      <c r="R299" s="23" t="n"/>
      <c r="S299" s="23" t="n"/>
      <c r="T299" s="21" t="n"/>
      <c r="U299" s="21" t="n"/>
      <c r="V299" s="21" t="n"/>
      <c r="W299" s="21" t="n"/>
      <c r="X299" s="21" t="n"/>
      <c r="Y299" s="25">
        <f>IF($C299="","",IF(E299="XAUUSD",0.1,IF(ISNUMBER(SEARCH("JPY",E299)),0.01,0.0001)))</f>
        <v/>
      </c>
      <c r="Z299" s="18">
        <f>IF($C299="","",IF(F299="Sell",-1,1))</f>
        <v/>
      </c>
      <c r="AA299" s="18">
        <f>IF($C299="","",IF(E299="XAUUSD",100,100000))</f>
        <v/>
      </c>
      <c r="AB299" s="26">
        <f>IF(OR(K299="",L299=""),"",ABS(K299-L299)/Y299)</f>
        <v/>
      </c>
      <c r="AC299" s="26">
        <f>IF(OR(K299="",M299=""),"",ABS(M299-K299)/Y299)</f>
        <v/>
      </c>
      <c r="AD299" s="26">
        <f>IF(OR(K299="",O299=""),"",(O299-K299)*Z299/Y299)</f>
        <v/>
      </c>
      <c r="AE299" s="27">
        <f>IF(OR(AB299="",AB299=0,AC299=""),"",AC299/AB299)</f>
        <v/>
      </c>
      <c r="AF299" s="27">
        <f>IF(OR(AB299="",AB299=0,AD299=""),"",AD299/AB299)</f>
        <v/>
      </c>
      <c r="AG299" s="27">
        <f>IF(OR(C299="",P299=""),"",((P299+IF(Q299="",0,Q299))-(C299+IF(D299="",0,D299)))*24)</f>
        <v/>
      </c>
      <c r="AH299" s="18">
        <f>IF(AG299="","",INT(AG299/24)&amp;"d "&amp;INT(MOD(AG299,24))&amp;"h "&amp;INT(MOD(AG299*60,60))&amp;"m")</f>
        <v/>
      </c>
      <c r="AI299" s="28">
        <f>IF(OR(O299="",K299="",H299=""),"",IF(OR(E299="XAUUSD",RIGHT(E299,3)="USD"),(O299-K299)*Z299*AA299*H299,IF(LEFT(E299,3)="USD",IF(O299=0,"",(O299-K299)*Z299*AA299*H299/O299),AD299*10*H299)))</f>
        <v/>
      </c>
      <c r="AJ299" s="28">
        <f>IF(O299="","",IF(S299="",IF(AI299="",0,AI299),S299)-IF(R299="",0,R299))</f>
        <v/>
      </c>
      <c r="AK299" s="18">
        <f>IF(C299="","",IF(OR(O299="",P299=""),"Open",IF(ABS(AJ299)&lt;=BEThreshold,"BE",IF(AJ299&gt;0,"Win","Loss"))))</f>
        <v/>
      </c>
      <c r="AL299" s="28">
        <f>IF(OR(C299="",AK299="Open"),"",InitialCapital+SUMIFS($AJ$2:AJ299,$AK$2:AK299,"&lt;&gt;Open"))</f>
        <v/>
      </c>
      <c r="AM299" s="18">
        <f>IF(OR(C299="",AK299=""),"",IF(AK299="Open","No","Yes"))</f>
        <v/>
      </c>
    </row>
    <row r="300" ht="18" customHeight="1">
      <c r="A300" s="18">
        <f>IF(C300="","",COUNTA($C$2:C300))</f>
        <v/>
      </c>
      <c r="B300" s="18">
        <f>IF(C300="","",TEXT(C300,"dddd"))</f>
        <v/>
      </c>
      <c r="C300" s="19" t="n"/>
      <c r="D300" s="20" t="n"/>
      <c r="E300" s="21" t="n"/>
      <c r="F300" s="21" t="n"/>
      <c r="G300" s="21" t="n"/>
      <c r="H300" s="22" t="n"/>
      <c r="I300" s="23" t="n"/>
      <c r="J300" s="22" t="n"/>
      <c r="K300" s="24" t="n"/>
      <c r="L300" s="24" t="n"/>
      <c r="M300" s="24" t="n"/>
      <c r="N300" s="21" t="n"/>
      <c r="O300" s="24" t="n"/>
      <c r="P300" s="19" t="n"/>
      <c r="Q300" s="20" t="n"/>
      <c r="R300" s="23" t="n"/>
      <c r="S300" s="23" t="n"/>
      <c r="T300" s="21" t="n"/>
      <c r="U300" s="21" t="n"/>
      <c r="V300" s="21" t="n"/>
      <c r="W300" s="21" t="n"/>
      <c r="X300" s="21" t="n"/>
      <c r="Y300" s="25">
        <f>IF($C300="","",IF(E300="XAUUSD",0.1,IF(ISNUMBER(SEARCH("JPY",E300)),0.01,0.0001)))</f>
        <v/>
      </c>
      <c r="Z300" s="18">
        <f>IF($C300="","",IF(F300="Sell",-1,1))</f>
        <v/>
      </c>
      <c r="AA300" s="18">
        <f>IF($C300="","",IF(E300="XAUUSD",100,100000))</f>
        <v/>
      </c>
      <c r="AB300" s="26">
        <f>IF(OR(K300="",L300=""),"",ABS(K300-L300)/Y300)</f>
        <v/>
      </c>
      <c r="AC300" s="26">
        <f>IF(OR(K300="",M300=""),"",ABS(M300-K300)/Y300)</f>
        <v/>
      </c>
      <c r="AD300" s="26">
        <f>IF(OR(K300="",O300=""),"",(O300-K300)*Z300/Y300)</f>
        <v/>
      </c>
      <c r="AE300" s="27">
        <f>IF(OR(AB300="",AB300=0,AC300=""),"",AC300/AB300)</f>
        <v/>
      </c>
      <c r="AF300" s="27">
        <f>IF(OR(AB300="",AB300=0,AD300=""),"",AD300/AB300)</f>
        <v/>
      </c>
      <c r="AG300" s="27">
        <f>IF(OR(C300="",P300=""),"",((P300+IF(Q300="",0,Q300))-(C300+IF(D300="",0,D300)))*24)</f>
        <v/>
      </c>
      <c r="AH300" s="18">
        <f>IF(AG300="","",INT(AG300/24)&amp;"d "&amp;INT(MOD(AG300,24))&amp;"h "&amp;INT(MOD(AG300*60,60))&amp;"m")</f>
        <v/>
      </c>
      <c r="AI300" s="28">
        <f>IF(OR(O300="",K300="",H300=""),"",IF(OR(E300="XAUUSD",RIGHT(E300,3)="USD"),(O300-K300)*Z300*AA300*H300,IF(LEFT(E300,3)="USD",IF(O300=0,"",(O300-K300)*Z300*AA300*H300/O300),AD300*10*H300)))</f>
        <v/>
      </c>
      <c r="AJ300" s="28">
        <f>IF(O300="","",IF(S300="",IF(AI300="",0,AI300),S300)-IF(R300="",0,R300))</f>
        <v/>
      </c>
      <c r="AK300" s="18">
        <f>IF(C300="","",IF(OR(O300="",P300=""),"Open",IF(ABS(AJ300)&lt;=BEThreshold,"BE",IF(AJ300&gt;0,"Win","Loss"))))</f>
        <v/>
      </c>
      <c r="AL300" s="28">
        <f>IF(OR(C300="",AK300="Open"),"",InitialCapital+SUMIFS($AJ$2:AJ300,$AK$2:AK300,"&lt;&gt;Open"))</f>
        <v/>
      </c>
      <c r="AM300" s="18">
        <f>IF(OR(C300="",AK300=""),"",IF(AK300="Open","No","Yes"))</f>
        <v/>
      </c>
    </row>
    <row r="301" ht="18" customHeight="1">
      <c r="A301" s="18">
        <f>IF(C301="","",COUNTA($C$2:C301))</f>
        <v/>
      </c>
      <c r="B301" s="18">
        <f>IF(C301="","",TEXT(C301,"dddd"))</f>
        <v/>
      </c>
      <c r="C301" s="19" t="n"/>
      <c r="D301" s="20" t="n"/>
      <c r="E301" s="21" t="n"/>
      <c r="F301" s="21" t="n"/>
      <c r="G301" s="21" t="n"/>
      <c r="H301" s="22" t="n"/>
      <c r="I301" s="23" t="n"/>
      <c r="J301" s="22" t="n"/>
      <c r="K301" s="24" t="n"/>
      <c r="L301" s="24" t="n"/>
      <c r="M301" s="24" t="n"/>
      <c r="N301" s="21" t="n"/>
      <c r="O301" s="24" t="n"/>
      <c r="P301" s="19" t="n"/>
      <c r="Q301" s="20" t="n"/>
      <c r="R301" s="23" t="n"/>
      <c r="S301" s="23" t="n"/>
      <c r="T301" s="21" t="n"/>
      <c r="U301" s="21" t="n"/>
      <c r="V301" s="21" t="n"/>
      <c r="W301" s="21" t="n"/>
      <c r="X301" s="21" t="n"/>
      <c r="Y301" s="25">
        <f>IF($C301="","",IF(E301="XAUUSD",0.1,IF(ISNUMBER(SEARCH("JPY",E301)),0.01,0.0001)))</f>
        <v/>
      </c>
      <c r="Z301" s="18">
        <f>IF($C301="","",IF(F301="Sell",-1,1))</f>
        <v/>
      </c>
      <c r="AA301" s="18">
        <f>IF($C301="","",IF(E301="XAUUSD",100,100000))</f>
        <v/>
      </c>
      <c r="AB301" s="26">
        <f>IF(OR(K301="",L301=""),"",ABS(K301-L301)/Y301)</f>
        <v/>
      </c>
      <c r="AC301" s="26">
        <f>IF(OR(K301="",M301=""),"",ABS(M301-K301)/Y301)</f>
        <v/>
      </c>
      <c r="AD301" s="26">
        <f>IF(OR(K301="",O301=""),"",(O301-K301)*Z301/Y301)</f>
        <v/>
      </c>
      <c r="AE301" s="27">
        <f>IF(OR(AB301="",AB301=0,AC301=""),"",AC301/AB301)</f>
        <v/>
      </c>
      <c r="AF301" s="27">
        <f>IF(OR(AB301="",AB301=0,AD301=""),"",AD301/AB301)</f>
        <v/>
      </c>
      <c r="AG301" s="27">
        <f>IF(OR(C301="",P301=""),"",((P301+IF(Q301="",0,Q301))-(C301+IF(D301="",0,D301)))*24)</f>
        <v/>
      </c>
      <c r="AH301" s="18">
        <f>IF(AG301="","",INT(AG301/24)&amp;"d "&amp;INT(MOD(AG301,24))&amp;"h "&amp;INT(MOD(AG301*60,60))&amp;"m")</f>
        <v/>
      </c>
      <c r="AI301" s="28">
        <f>IF(OR(O301="",K301="",H301=""),"",IF(OR(E301="XAUUSD",RIGHT(E301,3)="USD"),(O301-K301)*Z301*AA301*H301,IF(LEFT(E301,3)="USD",IF(O301=0,"",(O301-K301)*Z301*AA301*H301/O301),AD301*10*H301)))</f>
        <v/>
      </c>
      <c r="AJ301" s="28">
        <f>IF(O301="","",IF(S301="",IF(AI301="",0,AI301),S301)-IF(R301="",0,R301))</f>
        <v/>
      </c>
      <c r="AK301" s="18">
        <f>IF(C301="","",IF(OR(O301="",P301=""),"Open",IF(ABS(AJ301)&lt;=BEThreshold,"BE",IF(AJ301&gt;0,"Win","Loss"))))</f>
        <v/>
      </c>
      <c r="AL301" s="28">
        <f>IF(OR(C301="",AK301="Open"),"",InitialCapital+SUMIFS($AJ$2:AJ301,$AK$2:AK301,"&lt;&gt;Open"))</f>
        <v/>
      </c>
      <c r="AM301" s="18">
        <f>IF(OR(C301="",AK301=""),"",IF(AK301="Open","No","Yes"))</f>
        <v/>
      </c>
    </row>
    <row r="302" ht="18" customHeight="1">
      <c r="A302" s="18">
        <f>IF(C302="","",COUNTA($C$2:C302))</f>
        <v/>
      </c>
      <c r="B302" s="18">
        <f>IF(C302="","",TEXT(C302,"dddd"))</f>
        <v/>
      </c>
      <c r="C302" s="19" t="n"/>
      <c r="D302" s="20" t="n"/>
      <c r="E302" s="21" t="n"/>
      <c r="F302" s="21" t="n"/>
      <c r="G302" s="21" t="n"/>
      <c r="H302" s="22" t="n"/>
      <c r="I302" s="23" t="n"/>
      <c r="J302" s="22" t="n"/>
      <c r="K302" s="24" t="n"/>
      <c r="L302" s="24" t="n"/>
      <c r="M302" s="24" t="n"/>
      <c r="N302" s="21" t="n"/>
      <c r="O302" s="24" t="n"/>
      <c r="P302" s="19" t="n"/>
      <c r="Q302" s="20" t="n"/>
      <c r="R302" s="23" t="n"/>
      <c r="S302" s="23" t="n"/>
      <c r="T302" s="21" t="n"/>
      <c r="U302" s="21" t="n"/>
      <c r="V302" s="21" t="n"/>
      <c r="W302" s="21" t="n"/>
      <c r="X302" s="21" t="n"/>
      <c r="Y302" s="25">
        <f>IF($C302="","",IF(E302="XAUUSD",0.1,IF(ISNUMBER(SEARCH("JPY",E302)),0.01,0.0001)))</f>
        <v/>
      </c>
      <c r="Z302" s="18">
        <f>IF($C302="","",IF(F302="Sell",-1,1))</f>
        <v/>
      </c>
      <c r="AA302" s="18">
        <f>IF($C302="","",IF(E302="XAUUSD",100,100000))</f>
        <v/>
      </c>
      <c r="AB302" s="26">
        <f>IF(OR(K302="",L302=""),"",ABS(K302-L302)/Y302)</f>
        <v/>
      </c>
      <c r="AC302" s="26">
        <f>IF(OR(K302="",M302=""),"",ABS(M302-K302)/Y302)</f>
        <v/>
      </c>
      <c r="AD302" s="26">
        <f>IF(OR(K302="",O302=""),"",(O302-K302)*Z302/Y302)</f>
        <v/>
      </c>
      <c r="AE302" s="27">
        <f>IF(OR(AB302="",AB302=0,AC302=""),"",AC302/AB302)</f>
        <v/>
      </c>
      <c r="AF302" s="27">
        <f>IF(OR(AB302="",AB302=0,AD302=""),"",AD302/AB302)</f>
        <v/>
      </c>
      <c r="AG302" s="27">
        <f>IF(OR(C302="",P302=""),"",((P302+IF(Q302="",0,Q302))-(C302+IF(D302="",0,D302)))*24)</f>
        <v/>
      </c>
      <c r="AH302" s="18">
        <f>IF(AG302="","",INT(AG302/24)&amp;"d "&amp;INT(MOD(AG302,24))&amp;"h "&amp;INT(MOD(AG302*60,60))&amp;"m")</f>
        <v/>
      </c>
      <c r="AI302" s="28">
        <f>IF(OR(O302="",K302="",H302=""),"",IF(OR(E302="XAUUSD",RIGHT(E302,3)="USD"),(O302-K302)*Z302*AA302*H302,IF(LEFT(E302,3)="USD",IF(O302=0,"",(O302-K302)*Z302*AA302*H302/O302),AD302*10*H302)))</f>
        <v/>
      </c>
      <c r="AJ302" s="28">
        <f>IF(O302="","",IF(S302="",IF(AI302="",0,AI302),S302)-IF(R302="",0,R302))</f>
        <v/>
      </c>
      <c r="AK302" s="18">
        <f>IF(C302="","",IF(OR(O302="",P302=""),"Open",IF(ABS(AJ302)&lt;=BEThreshold,"BE",IF(AJ302&gt;0,"Win","Loss"))))</f>
        <v/>
      </c>
      <c r="AL302" s="28">
        <f>IF(OR(C302="",AK302="Open"),"",InitialCapital+SUMIFS($AJ$2:AJ302,$AK$2:AK302,"&lt;&gt;Open"))</f>
        <v/>
      </c>
      <c r="AM302" s="18">
        <f>IF(OR(C302="",AK302=""),"",IF(AK302="Open","No","Yes"))</f>
        <v/>
      </c>
    </row>
    <row r="303" ht="18" customHeight="1">
      <c r="A303" s="18">
        <f>IF(C303="","",COUNTA($C$2:C303))</f>
        <v/>
      </c>
      <c r="B303" s="18">
        <f>IF(C303="","",TEXT(C303,"dddd"))</f>
        <v/>
      </c>
      <c r="C303" s="19" t="n"/>
      <c r="D303" s="20" t="n"/>
      <c r="E303" s="21" t="n"/>
      <c r="F303" s="21" t="n"/>
      <c r="G303" s="21" t="n"/>
      <c r="H303" s="22" t="n"/>
      <c r="I303" s="23" t="n"/>
      <c r="J303" s="22" t="n"/>
      <c r="K303" s="24" t="n"/>
      <c r="L303" s="24" t="n"/>
      <c r="M303" s="24" t="n"/>
      <c r="N303" s="21" t="n"/>
      <c r="O303" s="24" t="n"/>
      <c r="P303" s="19" t="n"/>
      <c r="Q303" s="20" t="n"/>
      <c r="R303" s="23" t="n"/>
      <c r="S303" s="23" t="n"/>
      <c r="T303" s="21" t="n"/>
      <c r="U303" s="21" t="n"/>
      <c r="V303" s="21" t="n"/>
      <c r="W303" s="21" t="n"/>
      <c r="X303" s="21" t="n"/>
      <c r="Y303" s="25">
        <f>IF($C303="","",IF(E303="XAUUSD",0.1,IF(ISNUMBER(SEARCH("JPY",E303)),0.01,0.0001)))</f>
        <v/>
      </c>
      <c r="Z303" s="18">
        <f>IF($C303="","",IF(F303="Sell",-1,1))</f>
        <v/>
      </c>
      <c r="AA303" s="18">
        <f>IF($C303="","",IF(E303="XAUUSD",100,100000))</f>
        <v/>
      </c>
      <c r="AB303" s="26">
        <f>IF(OR(K303="",L303=""),"",ABS(K303-L303)/Y303)</f>
        <v/>
      </c>
      <c r="AC303" s="26">
        <f>IF(OR(K303="",M303=""),"",ABS(M303-K303)/Y303)</f>
        <v/>
      </c>
      <c r="AD303" s="26">
        <f>IF(OR(K303="",O303=""),"",(O303-K303)*Z303/Y303)</f>
        <v/>
      </c>
      <c r="AE303" s="27">
        <f>IF(OR(AB303="",AB303=0,AC303=""),"",AC303/AB303)</f>
        <v/>
      </c>
      <c r="AF303" s="27">
        <f>IF(OR(AB303="",AB303=0,AD303=""),"",AD303/AB303)</f>
        <v/>
      </c>
      <c r="AG303" s="27">
        <f>IF(OR(C303="",P303=""),"",((P303+IF(Q303="",0,Q303))-(C303+IF(D303="",0,D303)))*24)</f>
        <v/>
      </c>
      <c r="AH303" s="18">
        <f>IF(AG303="","",INT(AG303/24)&amp;"d "&amp;INT(MOD(AG303,24))&amp;"h "&amp;INT(MOD(AG303*60,60))&amp;"m")</f>
        <v/>
      </c>
      <c r="AI303" s="28">
        <f>IF(OR(O303="",K303="",H303=""),"",IF(OR(E303="XAUUSD",RIGHT(E303,3)="USD"),(O303-K303)*Z303*AA303*H303,IF(LEFT(E303,3)="USD",IF(O303=0,"",(O303-K303)*Z303*AA303*H303/O303),AD303*10*H303)))</f>
        <v/>
      </c>
      <c r="AJ303" s="28">
        <f>IF(O303="","",IF(S303="",IF(AI303="",0,AI303),S303)-IF(R303="",0,R303))</f>
        <v/>
      </c>
      <c r="AK303" s="18">
        <f>IF(C303="","",IF(OR(O303="",P303=""),"Open",IF(ABS(AJ303)&lt;=BEThreshold,"BE",IF(AJ303&gt;0,"Win","Loss"))))</f>
        <v/>
      </c>
      <c r="AL303" s="28">
        <f>IF(OR(C303="",AK303="Open"),"",InitialCapital+SUMIFS($AJ$2:AJ303,$AK$2:AK303,"&lt;&gt;Open"))</f>
        <v/>
      </c>
      <c r="AM303" s="18">
        <f>IF(OR(C303="",AK303=""),"",IF(AK303="Open","No","Yes"))</f>
        <v/>
      </c>
    </row>
    <row r="304" ht="18" customHeight="1">
      <c r="A304" s="18">
        <f>IF(C304="","",COUNTA($C$2:C304))</f>
        <v/>
      </c>
      <c r="B304" s="18">
        <f>IF(C304="","",TEXT(C304,"dddd"))</f>
        <v/>
      </c>
      <c r="C304" s="19" t="n"/>
      <c r="D304" s="20" t="n"/>
      <c r="E304" s="21" t="n"/>
      <c r="F304" s="21" t="n"/>
      <c r="G304" s="21" t="n"/>
      <c r="H304" s="22" t="n"/>
      <c r="I304" s="23" t="n"/>
      <c r="J304" s="22" t="n"/>
      <c r="K304" s="24" t="n"/>
      <c r="L304" s="24" t="n"/>
      <c r="M304" s="24" t="n"/>
      <c r="N304" s="21" t="n"/>
      <c r="O304" s="24" t="n"/>
      <c r="P304" s="19" t="n"/>
      <c r="Q304" s="20" t="n"/>
      <c r="R304" s="23" t="n"/>
      <c r="S304" s="23" t="n"/>
      <c r="T304" s="21" t="n"/>
      <c r="U304" s="21" t="n"/>
      <c r="V304" s="21" t="n"/>
      <c r="W304" s="21" t="n"/>
      <c r="X304" s="21" t="n"/>
      <c r="Y304" s="25">
        <f>IF($C304="","",IF(E304="XAUUSD",0.1,IF(ISNUMBER(SEARCH("JPY",E304)),0.01,0.0001)))</f>
        <v/>
      </c>
      <c r="Z304" s="18">
        <f>IF($C304="","",IF(F304="Sell",-1,1))</f>
        <v/>
      </c>
      <c r="AA304" s="18">
        <f>IF($C304="","",IF(E304="XAUUSD",100,100000))</f>
        <v/>
      </c>
      <c r="AB304" s="26">
        <f>IF(OR(K304="",L304=""),"",ABS(K304-L304)/Y304)</f>
        <v/>
      </c>
      <c r="AC304" s="26">
        <f>IF(OR(K304="",M304=""),"",ABS(M304-K304)/Y304)</f>
        <v/>
      </c>
      <c r="AD304" s="26">
        <f>IF(OR(K304="",O304=""),"",(O304-K304)*Z304/Y304)</f>
        <v/>
      </c>
      <c r="AE304" s="27">
        <f>IF(OR(AB304="",AB304=0,AC304=""),"",AC304/AB304)</f>
        <v/>
      </c>
      <c r="AF304" s="27">
        <f>IF(OR(AB304="",AB304=0,AD304=""),"",AD304/AB304)</f>
        <v/>
      </c>
      <c r="AG304" s="27">
        <f>IF(OR(C304="",P304=""),"",((P304+IF(Q304="",0,Q304))-(C304+IF(D304="",0,D304)))*24)</f>
        <v/>
      </c>
      <c r="AH304" s="18">
        <f>IF(AG304="","",INT(AG304/24)&amp;"d "&amp;INT(MOD(AG304,24))&amp;"h "&amp;INT(MOD(AG304*60,60))&amp;"m")</f>
        <v/>
      </c>
      <c r="AI304" s="28">
        <f>IF(OR(O304="",K304="",H304=""),"",IF(OR(E304="XAUUSD",RIGHT(E304,3)="USD"),(O304-K304)*Z304*AA304*H304,IF(LEFT(E304,3)="USD",IF(O304=0,"",(O304-K304)*Z304*AA304*H304/O304),AD304*10*H304)))</f>
        <v/>
      </c>
      <c r="AJ304" s="28">
        <f>IF(O304="","",IF(S304="",IF(AI304="",0,AI304),S304)-IF(R304="",0,R304))</f>
        <v/>
      </c>
      <c r="AK304" s="18">
        <f>IF(C304="","",IF(OR(O304="",P304=""),"Open",IF(ABS(AJ304)&lt;=BEThreshold,"BE",IF(AJ304&gt;0,"Win","Loss"))))</f>
        <v/>
      </c>
      <c r="AL304" s="28">
        <f>IF(OR(C304="",AK304="Open"),"",InitialCapital+SUMIFS($AJ$2:AJ304,$AK$2:AK304,"&lt;&gt;Open"))</f>
        <v/>
      </c>
      <c r="AM304" s="18">
        <f>IF(OR(C304="",AK304=""),"",IF(AK304="Open","No","Yes"))</f>
        <v/>
      </c>
    </row>
    <row r="305" ht="18" customHeight="1">
      <c r="A305" s="18">
        <f>IF(C305="","",COUNTA($C$2:C305))</f>
        <v/>
      </c>
      <c r="B305" s="18">
        <f>IF(C305="","",TEXT(C305,"dddd"))</f>
        <v/>
      </c>
      <c r="C305" s="19" t="n"/>
      <c r="D305" s="20" t="n"/>
      <c r="E305" s="21" t="n"/>
      <c r="F305" s="21" t="n"/>
      <c r="G305" s="21" t="n"/>
      <c r="H305" s="22" t="n"/>
      <c r="I305" s="23" t="n"/>
      <c r="J305" s="22" t="n"/>
      <c r="K305" s="24" t="n"/>
      <c r="L305" s="24" t="n"/>
      <c r="M305" s="24" t="n"/>
      <c r="N305" s="21" t="n"/>
      <c r="O305" s="24" t="n"/>
      <c r="P305" s="19" t="n"/>
      <c r="Q305" s="20" t="n"/>
      <c r="R305" s="23" t="n"/>
      <c r="S305" s="23" t="n"/>
      <c r="T305" s="21" t="n"/>
      <c r="U305" s="21" t="n"/>
      <c r="V305" s="21" t="n"/>
      <c r="W305" s="21" t="n"/>
      <c r="X305" s="21" t="n"/>
      <c r="Y305" s="25">
        <f>IF($C305="","",IF(E305="XAUUSD",0.1,IF(ISNUMBER(SEARCH("JPY",E305)),0.01,0.0001)))</f>
        <v/>
      </c>
      <c r="Z305" s="18">
        <f>IF($C305="","",IF(F305="Sell",-1,1))</f>
        <v/>
      </c>
      <c r="AA305" s="18">
        <f>IF($C305="","",IF(E305="XAUUSD",100,100000))</f>
        <v/>
      </c>
      <c r="AB305" s="26">
        <f>IF(OR(K305="",L305=""),"",ABS(K305-L305)/Y305)</f>
        <v/>
      </c>
      <c r="AC305" s="26">
        <f>IF(OR(K305="",M305=""),"",ABS(M305-K305)/Y305)</f>
        <v/>
      </c>
      <c r="AD305" s="26">
        <f>IF(OR(K305="",O305=""),"",(O305-K305)*Z305/Y305)</f>
        <v/>
      </c>
      <c r="AE305" s="27">
        <f>IF(OR(AB305="",AB305=0,AC305=""),"",AC305/AB305)</f>
        <v/>
      </c>
      <c r="AF305" s="27">
        <f>IF(OR(AB305="",AB305=0,AD305=""),"",AD305/AB305)</f>
        <v/>
      </c>
      <c r="AG305" s="27">
        <f>IF(OR(C305="",P305=""),"",((P305+IF(Q305="",0,Q305))-(C305+IF(D305="",0,D305)))*24)</f>
        <v/>
      </c>
      <c r="AH305" s="18">
        <f>IF(AG305="","",INT(AG305/24)&amp;"d "&amp;INT(MOD(AG305,24))&amp;"h "&amp;INT(MOD(AG305*60,60))&amp;"m")</f>
        <v/>
      </c>
      <c r="AI305" s="28">
        <f>IF(OR(O305="",K305="",H305=""),"",IF(OR(E305="XAUUSD",RIGHT(E305,3)="USD"),(O305-K305)*Z305*AA305*H305,IF(LEFT(E305,3)="USD",IF(O305=0,"",(O305-K305)*Z305*AA305*H305/O305),AD305*10*H305)))</f>
        <v/>
      </c>
      <c r="AJ305" s="28">
        <f>IF(O305="","",IF(S305="",IF(AI305="",0,AI305),S305)-IF(R305="",0,R305))</f>
        <v/>
      </c>
      <c r="AK305" s="18">
        <f>IF(C305="","",IF(OR(O305="",P305=""),"Open",IF(ABS(AJ305)&lt;=BEThreshold,"BE",IF(AJ305&gt;0,"Win","Loss"))))</f>
        <v/>
      </c>
      <c r="AL305" s="28">
        <f>IF(OR(C305="",AK305="Open"),"",InitialCapital+SUMIFS($AJ$2:AJ305,$AK$2:AK305,"&lt;&gt;Open"))</f>
        <v/>
      </c>
      <c r="AM305" s="18">
        <f>IF(OR(C305="",AK305=""),"",IF(AK305="Open","No","Yes"))</f>
        <v/>
      </c>
    </row>
    <row r="306" ht="18" customHeight="1">
      <c r="A306" s="18">
        <f>IF(C306="","",COUNTA($C$2:C306))</f>
        <v/>
      </c>
      <c r="B306" s="18">
        <f>IF(C306="","",TEXT(C306,"dddd"))</f>
        <v/>
      </c>
      <c r="C306" s="19" t="n"/>
      <c r="D306" s="20" t="n"/>
      <c r="E306" s="21" t="n"/>
      <c r="F306" s="21" t="n"/>
      <c r="G306" s="21" t="n"/>
      <c r="H306" s="22" t="n"/>
      <c r="I306" s="23" t="n"/>
      <c r="J306" s="22" t="n"/>
      <c r="K306" s="24" t="n"/>
      <c r="L306" s="24" t="n"/>
      <c r="M306" s="24" t="n"/>
      <c r="N306" s="21" t="n"/>
      <c r="O306" s="24" t="n"/>
      <c r="P306" s="19" t="n"/>
      <c r="Q306" s="20" t="n"/>
      <c r="R306" s="23" t="n"/>
      <c r="S306" s="23" t="n"/>
      <c r="T306" s="21" t="n"/>
      <c r="U306" s="21" t="n"/>
      <c r="V306" s="21" t="n"/>
      <c r="W306" s="21" t="n"/>
      <c r="X306" s="21" t="n"/>
      <c r="Y306" s="25">
        <f>IF($C306="","",IF(E306="XAUUSD",0.1,IF(ISNUMBER(SEARCH("JPY",E306)),0.01,0.0001)))</f>
        <v/>
      </c>
      <c r="Z306" s="18">
        <f>IF($C306="","",IF(F306="Sell",-1,1))</f>
        <v/>
      </c>
      <c r="AA306" s="18">
        <f>IF($C306="","",IF(E306="XAUUSD",100,100000))</f>
        <v/>
      </c>
      <c r="AB306" s="26">
        <f>IF(OR(K306="",L306=""),"",ABS(K306-L306)/Y306)</f>
        <v/>
      </c>
      <c r="AC306" s="26">
        <f>IF(OR(K306="",M306=""),"",ABS(M306-K306)/Y306)</f>
        <v/>
      </c>
      <c r="AD306" s="26">
        <f>IF(OR(K306="",O306=""),"",(O306-K306)*Z306/Y306)</f>
        <v/>
      </c>
      <c r="AE306" s="27">
        <f>IF(OR(AB306="",AB306=0,AC306=""),"",AC306/AB306)</f>
        <v/>
      </c>
      <c r="AF306" s="27">
        <f>IF(OR(AB306="",AB306=0,AD306=""),"",AD306/AB306)</f>
        <v/>
      </c>
      <c r="AG306" s="27">
        <f>IF(OR(C306="",P306=""),"",((P306+IF(Q306="",0,Q306))-(C306+IF(D306="",0,D306)))*24)</f>
        <v/>
      </c>
      <c r="AH306" s="18">
        <f>IF(AG306="","",INT(AG306/24)&amp;"d "&amp;INT(MOD(AG306,24))&amp;"h "&amp;INT(MOD(AG306*60,60))&amp;"m")</f>
        <v/>
      </c>
      <c r="AI306" s="28">
        <f>IF(OR(O306="",K306="",H306=""),"",IF(OR(E306="XAUUSD",RIGHT(E306,3)="USD"),(O306-K306)*Z306*AA306*H306,IF(LEFT(E306,3)="USD",IF(O306=0,"",(O306-K306)*Z306*AA306*H306/O306),AD306*10*H306)))</f>
        <v/>
      </c>
      <c r="AJ306" s="28">
        <f>IF(O306="","",IF(S306="",IF(AI306="",0,AI306),S306)-IF(R306="",0,R306))</f>
        <v/>
      </c>
      <c r="AK306" s="18">
        <f>IF(C306="","",IF(OR(O306="",P306=""),"Open",IF(ABS(AJ306)&lt;=BEThreshold,"BE",IF(AJ306&gt;0,"Win","Loss"))))</f>
        <v/>
      </c>
      <c r="AL306" s="28">
        <f>IF(OR(C306="",AK306="Open"),"",InitialCapital+SUMIFS($AJ$2:AJ306,$AK$2:AK306,"&lt;&gt;Open"))</f>
        <v/>
      </c>
      <c r="AM306" s="18">
        <f>IF(OR(C306="",AK306=""),"",IF(AK306="Open","No","Yes"))</f>
        <v/>
      </c>
    </row>
    <row r="307" ht="18" customHeight="1">
      <c r="A307" s="18">
        <f>IF(C307="","",COUNTA($C$2:C307))</f>
        <v/>
      </c>
      <c r="B307" s="18">
        <f>IF(C307="","",TEXT(C307,"dddd"))</f>
        <v/>
      </c>
      <c r="C307" s="19" t="n"/>
      <c r="D307" s="20" t="n"/>
      <c r="E307" s="21" t="n"/>
      <c r="F307" s="21" t="n"/>
      <c r="G307" s="21" t="n"/>
      <c r="H307" s="22" t="n"/>
      <c r="I307" s="23" t="n"/>
      <c r="J307" s="22" t="n"/>
      <c r="K307" s="24" t="n"/>
      <c r="L307" s="24" t="n"/>
      <c r="M307" s="24" t="n"/>
      <c r="N307" s="21" t="n"/>
      <c r="O307" s="24" t="n"/>
      <c r="P307" s="19" t="n"/>
      <c r="Q307" s="20" t="n"/>
      <c r="R307" s="23" t="n"/>
      <c r="S307" s="23" t="n"/>
      <c r="T307" s="21" t="n"/>
      <c r="U307" s="21" t="n"/>
      <c r="V307" s="21" t="n"/>
      <c r="W307" s="21" t="n"/>
      <c r="X307" s="21" t="n"/>
      <c r="Y307" s="25">
        <f>IF($C307="","",IF(E307="XAUUSD",0.1,IF(ISNUMBER(SEARCH("JPY",E307)),0.01,0.0001)))</f>
        <v/>
      </c>
      <c r="Z307" s="18">
        <f>IF($C307="","",IF(F307="Sell",-1,1))</f>
        <v/>
      </c>
      <c r="AA307" s="18">
        <f>IF($C307="","",IF(E307="XAUUSD",100,100000))</f>
        <v/>
      </c>
      <c r="AB307" s="26">
        <f>IF(OR(K307="",L307=""),"",ABS(K307-L307)/Y307)</f>
        <v/>
      </c>
      <c r="AC307" s="26">
        <f>IF(OR(K307="",M307=""),"",ABS(M307-K307)/Y307)</f>
        <v/>
      </c>
      <c r="AD307" s="26">
        <f>IF(OR(K307="",O307=""),"",(O307-K307)*Z307/Y307)</f>
        <v/>
      </c>
      <c r="AE307" s="27">
        <f>IF(OR(AB307="",AB307=0,AC307=""),"",AC307/AB307)</f>
        <v/>
      </c>
      <c r="AF307" s="27">
        <f>IF(OR(AB307="",AB307=0,AD307=""),"",AD307/AB307)</f>
        <v/>
      </c>
      <c r="AG307" s="27">
        <f>IF(OR(C307="",P307=""),"",((P307+IF(Q307="",0,Q307))-(C307+IF(D307="",0,D307)))*24)</f>
        <v/>
      </c>
      <c r="AH307" s="18">
        <f>IF(AG307="","",INT(AG307/24)&amp;"d "&amp;INT(MOD(AG307,24))&amp;"h "&amp;INT(MOD(AG307*60,60))&amp;"m")</f>
        <v/>
      </c>
      <c r="AI307" s="28">
        <f>IF(OR(O307="",K307="",H307=""),"",IF(OR(E307="XAUUSD",RIGHT(E307,3)="USD"),(O307-K307)*Z307*AA307*H307,IF(LEFT(E307,3)="USD",IF(O307=0,"",(O307-K307)*Z307*AA307*H307/O307),AD307*10*H307)))</f>
        <v/>
      </c>
      <c r="AJ307" s="28">
        <f>IF(O307="","",IF(S307="",IF(AI307="",0,AI307),S307)-IF(R307="",0,R307))</f>
        <v/>
      </c>
      <c r="AK307" s="18">
        <f>IF(C307="","",IF(OR(O307="",P307=""),"Open",IF(ABS(AJ307)&lt;=BEThreshold,"BE",IF(AJ307&gt;0,"Win","Loss"))))</f>
        <v/>
      </c>
      <c r="AL307" s="28">
        <f>IF(OR(C307="",AK307="Open"),"",InitialCapital+SUMIFS($AJ$2:AJ307,$AK$2:AK307,"&lt;&gt;Open"))</f>
        <v/>
      </c>
      <c r="AM307" s="18">
        <f>IF(OR(C307="",AK307=""),"",IF(AK307="Open","No","Yes"))</f>
        <v/>
      </c>
    </row>
    <row r="308" ht="18" customHeight="1">
      <c r="A308" s="18">
        <f>IF(C308="","",COUNTA($C$2:C308))</f>
        <v/>
      </c>
      <c r="B308" s="18">
        <f>IF(C308="","",TEXT(C308,"dddd"))</f>
        <v/>
      </c>
      <c r="C308" s="19" t="n"/>
      <c r="D308" s="20" t="n"/>
      <c r="E308" s="21" t="n"/>
      <c r="F308" s="21" t="n"/>
      <c r="G308" s="21" t="n"/>
      <c r="H308" s="22" t="n"/>
      <c r="I308" s="23" t="n"/>
      <c r="J308" s="22" t="n"/>
      <c r="K308" s="24" t="n"/>
      <c r="L308" s="24" t="n"/>
      <c r="M308" s="24" t="n"/>
      <c r="N308" s="21" t="n"/>
      <c r="O308" s="24" t="n"/>
      <c r="P308" s="19" t="n"/>
      <c r="Q308" s="20" t="n"/>
      <c r="R308" s="23" t="n"/>
      <c r="S308" s="23" t="n"/>
      <c r="T308" s="21" t="n"/>
      <c r="U308" s="21" t="n"/>
      <c r="V308" s="21" t="n"/>
      <c r="W308" s="21" t="n"/>
      <c r="X308" s="21" t="n"/>
      <c r="Y308" s="25">
        <f>IF($C308="","",IF(E308="XAUUSD",0.1,IF(ISNUMBER(SEARCH("JPY",E308)),0.01,0.0001)))</f>
        <v/>
      </c>
      <c r="Z308" s="18">
        <f>IF($C308="","",IF(F308="Sell",-1,1))</f>
        <v/>
      </c>
      <c r="AA308" s="18">
        <f>IF($C308="","",IF(E308="XAUUSD",100,100000))</f>
        <v/>
      </c>
      <c r="AB308" s="26">
        <f>IF(OR(K308="",L308=""),"",ABS(K308-L308)/Y308)</f>
        <v/>
      </c>
      <c r="AC308" s="26">
        <f>IF(OR(K308="",M308=""),"",ABS(M308-K308)/Y308)</f>
        <v/>
      </c>
      <c r="AD308" s="26">
        <f>IF(OR(K308="",O308=""),"",(O308-K308)*Z308/Y308)</f>
        <v/>
      </c>
      <c r="AE308" s="27">
        <f>IF(OR(AB308="",AB308=0,AC308=""),"",AC308/AB308)</f>
        <v/>
      </c>
      <c r="AF308" s="27">
        <f>IF(OR(AB308="",AB308=0,AD308=""),"",AD308/AB308)</f>
        <v/>
      </c>
      <c r="AG308" s="27">
        <f>IF(OR(C308="",P308=""),"",((P308+IF(Q308="",0,Q308))-(C308+IF(D308="",0,D308)))*24)</f>
        <v/>
      </c>
      <c r="AH308" s="18">
        <f>IF(AG308="","",INT(AG308/24)&amp;"d "&amp;INT(MOD(AG308,24))&amp;"h "&amp;INT(MOD(AG308*60,60))&amp;"m")</f>
        <v/>
      </c>
      <c r="AI308" s="28">
        <f>IF(OR(O308="",K308="",H308=""),"",IF(OR(E308="XAUUSD",RIGHT(E308,3)="USD"),(O308-K308)*Z308*AA308*H308,IF(LEFT(E308,3)="USD",IF(O308=0,"",(O308-K308)*Z308*AA308*H308/O308),AD308*10*H308)))</f>
        <v/>
      </c>
      <c r="AJ308" s="28">
        <f>IF(O308="","",IF(S308="",IF(AI308="",0,AI308),S308)-IF(R308="",0,R308))</f>
        <v/>
      </c>
      <c r="AK308" s="18">
        <f>IF(C308="","",IF(OR(O308="",P308=""),"Open",IF(ABS(AJ308)&lt;=BEThreshold,"BE",IF(AJ308&gt;0,"Win","Loss"))))</f>
        <v/>
      </c>
      <c r="AL308" s="28">
        <f>IF(OR(C308="",AK308="Open"),"",InitialCapital+SUMIFS($AJ$2:AJ308,$AK$2:AK308,"&lt;&gt;Open"))</f>
        <v/>
      </c>
      <c r="AM308" s="18">
        <f>IF(OR(C308="",AK308=""),"",IF(AK308="Open","No","Yes"))</f>
        <v/>
      </c>
    </row>
    <row r="309" ht="18" customHeight="1">
      <c r="A309" s="18">
        <f>IF(C309="","",COUNTA($C$2:C309))</f>
        <v/>
      </c>
      <c r="B309" s="18">
        <f>IF(C309="","",TEXT(C309,"dddd"))</f>
        <v/>
      </c>
      <c r="C309" s="19" t="n"/>
      <c r="D309" s="20" t="n"/>
      <c r="E309" s="21" t="n"/>
      <c r="F309" s="21" t="n"/>
      <c r="G309" s="21" t="n"/>
      <c r="H309" s="22" t="n"/>
      <c r="I309" s="23" t="n"/>
      <c r="J309" s="22" t="n"/>
      <c r="K309" s="24" t="n"/>
      <c r="L309" s="24" t="n"/>
      <c r="M309" s="24" t="n"/>
      <c r="N309" s="21" t="n"/>
      <c r="O309" s="24" t="n"/>
      <c r="P309" s="19" t="n"/>
      <c r="Q309" s="20" t="n"/>
      <c r="R309" s="23" t="n"/>
      <c r="S309" s="23" t="n"/>
      <c r="T309" s="21" t="n"/>
      <c r="U309" s="21" t="n"/>
      <c r="V309" s="21" t="n"/>
      <c r="W309" s="21" t="n"/>
      <c r="X309" s="21" t="n"/>
      <c r="Y309" s="25">
        <f>IF($C309="","",IF(E309="XAUUSD",0.1,IF(ISNUMBER(SEARCH("JPY",E309)),0.01,0.0001)))</f>
        <v/>
      </c>
      <c r="Z309" s="18">
        <f>IF($C309="","",IF(F309="Sell",-1,1))</f>
        <v/>
      </c>
      <c r="AA309" s="18">
        <f>IF($C309="","",IF(E309="XAUUSD",100,100000))</f>
        <v/>
      </c>
      <c r="AB309" s="26">
        <f>IF(OR(K309="",L309=""),"",ABS(K309-L309)/Y309)</f>
        <v/>
      </c>
      <c r="AC309" s="26">
        <f>IF(OR(K309="",M309=""),"",ABS(M309-K309)/Y309)</f>
        <v/>
      </c>
      <c r="AD309" s="26">
        <f>IF(OR(K309="",O309=""),"",(O309-K309)*Z309/Y309)</f>
        <v/>
      </c>
      <c r="AE309" s="27">
        <f>IF(OR(AB309="",AB309=0,AC309=""),"",AC309/AB309)</f>
        <v/>
      </c>
      <c r="AF309" s="27">
        <f>IF(OR(AB309="",AB309=0,AD309=""),"",AD309/AB309)</f>
        <v/>
      </c>
      <c r="AG309" s="27">
        <f>IF(OR(C309="",P309=""),"",((P309+IF(Q309="",0,Q309))-(C309+IF(D309="",0,D309)))*24)</f>
        <v/>
      </c>
      <c r="AH309" s="18">
        <f>IF(AG309="","",INT(AG309/24)&amp;"d "&amp;INT(MOD(AG309,24))&amp;"h "&amp;INT(MOD(AG309*60,60))&amp;"m")</f>
        <v/>
      </c>
      <c r="AI309" s="28">
        <f>IF(OR(O309="",K309="",H309=""),"",IF(OR(E309="XAUUSD",RIGHT(E309,3)="USD"),(O309-K309)*Z309*AA309*H309,IF(LEFT(E309,3)="USD",IF(O309=0,"",(O309-K309)*Z309*AA309*H309/O309),AD309*10*H309)))</f>
        <v/>
      </c>
      <c r="AJ309" s="28">
        <f>IF(O309="","",IF(S309="",IF(AI309="",0,AI309),S309)-IF(R309="",0,R309))</f>
        <v/>
      </c>
      <c r="AK309" s="18">
        <f>IF(C309="","",IF(OR(O309="",P309=""),"Open",IF(ABS(AJ309)&lt;=BEThreshold,"BE",IF(AJ309&gt;0,"Win","Loss"))))</f>
        <v/>
      </c>
      <c r="AL309" s="28">
        <f>IF(OR(C309="",AK309="Open"),"",InitialCapital+SUMIFS($AJ$2:AJ309,$AK$2:AK309,"&lt;&gt;Open"))</f>
        <v/>
      </c>
      <c r="AM309" s="18">
        <f>IF(OR(C309="",AK309=""),"",IF(AK309="Open","No","Yes"))</f>
        <v/>
      </c>
    </row>
    <row r="310" ht="18" customHeight="1">
      <c r="A310" s="18">
        <f>IF(C310="","",COUNTA($C$2:C310))</f>
        <v/>
      </c>
      <c r="B310" s="18">
        <f>IF(C310="","",TEXT(C310,"dddd"))</f>
        <v/>
      </c>
      <c r="C310" s="19" t="n"/>
      <c r="D310" s="20" t="n"/>
      <c r="E310" s="21" t="n"/>
      <c r="F310" s="21" t="n"/>
      <c r="G310" s="21" t="n"/>
      <c r="H310" s="22" t="n"/>
      <c r="I310" s="23" t="n"/>
      <c r="J310" s="22" t="n"/>
      <c r="K310" s="24" t="n"/>
      <c r="L310" s="24" t="n"/>
      <c r="M310" s="24" t="n"/>
      <c r="N310" s="21" t="n"/>
      <c r="O310" s="24" t="n"/>
      <c r="P310" s="19" t="n"/>
      <c r="Q310" s="20" t="n"/>
      <c r="R310" s="23" t="n"/>
      <c r="S310" s="23" t="n"/>
      <c r="T310" s="21" t="n"/>
      <c r="U310" s="21" t="n"/>
      <c r="V310" s="21" t="n"/>
      <c r="W310" s="21" t="n"/>
      <c r="X310" s="21" t="n"/>
      <c r="Y310" s="25">
        <f>IF($C310="","",IF(E310="XAUUSD",0.1,IF(ISNUMBER(SEARCH("JPY",E310)),0.01,0.0001)))</f>
        <v/>
      </c>
      <c r="Z310" s="18">
        <f>IF($C310="","",IF(F310="Sell",-1,1))</f>
        <v/>
      </c>
      <c r="AA310" s="18">
        <f>IF($C310="","",IF(E310="XAUUSD",100,100000))</f>
        <v/>
      </c>
      <c r="AB310" s="26">
        <f>IF(OR(K310="",L310=""),"",ABS(K310-L310)/Y310)</f>
        <v/>
      </c>
      <c r="AC310" s="26">
        <f>IF(OR(K310="",M310=""),"",ABS(M310-K310)/Y310)</f>
        <v/>
      </c>
      <c r="AD310" s="26">
        <f>IF(OR(K310="",O310=""),"",(O310-K310)*Z310/Y310)</f>
        <v/>
      </c>
      <c r="AE310" s="27">
        <f>IF(OR(AB310="",AB310=0,AC310=""),"",AC310/AB310)</f>
        <v/>
      </c>
      <c r="AF310" s="27">
        <f>IF(OR(AB310="",AB310=0,AD310=""),"",AD310/AB310)</f>
        <v/>
      </c>
      <c r="AG310" s="27">
        <f>IF(OR(C310="",P310=""),"",((P310+IF(Q310="",0,Q310))-(C310+IF(D310="",0,D310)))*24)</f>
        <v/>
      </c>
      <c r="AH310" s="18">
        <f>IF(AG310="","",INT(AG310/24)&amp;"d "&amp;INT(MOD(AG310,24))&amp;"h "&amp;INT(MOD(AG310*60,60))&amp;"m")</f>
        <v/>
      </c>
      <c r="AI310" s="28">
        <f>IF(OR(O310="",K310="",H310=""),"",IF(OR(E310="XAUUSD",RIGHT(E310,3)="USD"),(O310-K310)*Z310*AA310*H310,IF(LEFT(E310,3)="USD",IF(O310=0,"",(O310-K310)*Z310*AA310*H310/O310),AD310*10*H310)))</f>
        <v/>
      </c>
      <c r="AJ310" s="28">
        <f>IF(O310="","",IF(S310="",IF(AI310="",0,AI310),S310)-IF(R310="",0,R310))</f>
        <v/>
      </c>
      <c r="AK310" s="18">
        <f>IF(C310="","",IF(OR(O310="",P310=""),"Open",IF(ABS(AJ310)&lt;=BEThreshold,"BE",IF(AJ310&gt;0,"Win","Loss"))))</f>
        <v/>
      </c>
      <c r="AL310" s="28">
        <f>IF(OR(C310="",AK310="Open"),"",InitialCapital+SUMIFS($AJ$2:AJ310,$AK$2:AK310,"&lt;&gt;Open"))</f>
        <v/>
      </c>
      <c r="AM310" s="18">
        <f>IF(OR(C310="",AK310=""),"",IF(AK310="Open","No","Yes"))</f>
        <v/>
      </c>
    </row>
    <row r="311" ht="18" customHeight="1">
      <c r="A311" s="18">
        <f>IF(C311="","",COUNTA($C$2:C311))</f>
        <v/>
      </c>
      <c r="B311" s="18">
        <f>IF(C311="","",TEXT(C311,"dddd"))</f>
        <v/>
      </c>
      <c r="C311" s="19" t="n"/>
      <c r="D311" s="20" t="n"/>
      <c r="E311" s="21" t="n"/>
      <c r="F311" s="21" t="n"/>
      <c r="G311" s="21" t="n"/>
      <c r="H311" s="22" t="n"/>
      <c r="I311" s="23" t="n"/>
      <c r="J311" s="22" t="n"/>
      <c r="K311" s="24" t="n"/>
      <c r="L311" s="24" t="n"/>
      <c r="M311" s="24" t="n"/>
      <c r="N311" s="21" t="n"/>
      <c r="O311" s="24" t="n"/>
      <c r="P311" s="19" t="n"/>
      <c r="Q311" s="20" t="n"/>
      <c r="R311" s="23" t="n"/>
      <c r="S311" s="23" t="n"/>
      <c r="T311" s="21" t="n"/>
      <c r="U311" s="21" t="n"/>
      <c r="V311" s="21" t="n"/>
      <c r="W311" s="21" t="n"/>
      <c r="X311" s="21" t="n"/>
      <c r="Y311" s="25">
        <f>IF($C311="","",IF(E311="XAUUSD",0.1,IF(ISNUMBER(SEARCH("JPY",E311)),0.01,0.0001)))</f>
        <v/>
      </c>
      <c r="Z311" s="18">
        <f>IF($C311="","",IF(F311="Sell",-1,1))</f>
        <v/>
      </c>
      <c r="AA311" s="18">
        <f>IF($C311="","",IF(E311="XAUUSD",100,100000))</f>
        <v/>
      </c>
      <c r="AB311" s="26">
        <f>IF(OR(K311="",L311=""),"",ABS(K311-L311)/Y311)</f>
        <v/>
      </c>
      <c r="AC311" s="26">
        <f>IF(OR(K311="",M311=""),"",ABS(M311-K311)/Y311)</f>
        <v/>
      </c>
      <c r="AD311" s="26">
        <f>IF(OR(K311="",O311=""),"",(O311-K311)*Z311/Y311)</f>
        <v/>
      </c>
      <c r="AE311" s="27">
        <f>IF(OR(AB311="",AB311=0,AC311=""),"",AC311/AB311)</f>
        <v/>
      </c>
      <c r="AF311" s="27">
        <f>IF(OR(AB311="",AB311=0,AD311=""),"",AD311/AB311)</f>
        <v/>
      </c>
      <c r="AG311" s="27">
        <f>IF(OR(C311="",P311=""),"",((P311+IF(Q311="",0,Q311))-(C311+IF(D311="",0,D311)))*24)</f>
        <v/>
      </c>
      <c r="AH311" s="18">
        <f>IF(AG311="","",INT(AG311/24)&amp;"d "&amp;INT(MOD(AG311,24))&amp;"h "&amp;INT(MOD(AG311*60,60))&amp;"m")</f>
        <v/>
      </c>
      <c r="AI311" s="28">
        <f>IF(OR(O311="",K311="",H311=""),"",IF(OR(E311="XAUUSD",RIGHT(E311,3)="USD"),(O311-K311)*Z311*AA311*H311,IF(LEFT(E311,3)="USD",IF(O311=0,"",(O311-K311)*Z311*AA311*H311/O311),AD311*10*H311)))</f>
        <v/>
      </c>
      <c r="AJ311" s="28">
        <f>IF(O311="","",IF(S311="",IF(AI311="",0,AI311),S311)-IF(R311="",0,R311))</f>
        <v/>
      </c>
      <c r="AK311" s="18">
        <f>IF(C311="","",IF(OR(O311="",P311=""),"Open",IF(ABS(AJ311)&lt;=BEThreshold,"BE",IF(AJ311&gt;0,"Win","Loss"))))</f>
        <v/>
      </c>
      <c r="AL311" s="28">
        <f>IF(OR(C311="",AK311="Open"),"",InitialCapital+SUMIFS($AJ$2:AJ311,$AK$2:AK311,"&lt;&gt;Open"))</f>
        <v/>
      </c>
      <c r="AM311" s="18">
        <f>IF(OR(C311="",AK311=""),"",IF(AK311="Open","No","Yes"))</f>
        <v/>
      </c>
    </row>
    <row r="312" ht="18" customHeight="1">
      <c r="A312" s="18">
        <f>IF(C312="","",COUNTA($C$2:C312))</f>
        <v/>
      </c>
      <c r="B312" s="18">
        <f>IF(C312="","",TEXT(C312,"dddd"))</f>
        <v/>
      </c>
      <c r="C312" s="19" t="n"/>
      <c r="D312" s="20" t="n"/>
      <c r="E312" s="21" t="n"/>
      <c r="F312" s="21" t="n"/>
      <c r="G312" s="21" t="n"/>
      <c r="H312" s="22" t="n"/>
      <c r="I312" s="23" t="n"/>
      <c r="J312" s="22" t="n"/>
      <c r="K312" s="24" t="n"/>
      <c r="L312" s="24" t="n"/>
      <c r="M312" s="24" t="n"/>
      <c r="N312" s="21" t="n"/>
      <c r="O312" s="24" t="n"/>
      <c r="P312" s="19" t="n"/>
      <c r="Q312" s="20" t="n"/>
      <c r="R312" s="23" t="n"/>
      <c r="S312" s="23" t="n"/>
      <c r="T312" s="21" t="n"/>
      <c r="U312" s="21" t="n"/>
      <c r="V312" s="21" t="n"/>
      <c r="W312" s="21" t="n"/>
      <c r="X312" s="21" t="n"/>
      <c r="Y312" s="25">
        <f>IF($C312="","",IF(E312="XAUUSD",0.1,IF(ISNUMBER(SEARCH("JPY",E312)),0.01,0.0001)))</f>
        <v/>
      </c>
      <c r="Z312" s="18">
        <f>IF($C312="","",IF(F312="Sell",-1,1))</f>
        <v/>
      </c>
      <c r="AA312" s="18">
        <f>IF($C312="","",IF(E312="XAUUSD",100,100000))</f>
        <v/>
      </c>
      <c r="AB312" s="26">
        <f>IF(OR(K312="",L312=""),"",ABS(K312-L312)/Y312)</f>
        <v/>
      </c>
      <c r="AC312" s="26">
        <f>IF(OR(K312="",M312=""),"",ABS(M312-K312)/Y312)</f>
        <v/>
      </c>
      <c r="AD312" s="26">
        <f>IF(OR(K312="",O312=""),"",(O312-K312)*Z312/Y312)</f>
        <v/>
      </c>
      <c r="AE312" s="27">
        <f>IF(OR(AB312="",AB312=0,AC312=""),"",AC312/AB312)</f>
        <v/>
      </c>
      <c r="AF312" s="27">
        <f>IF(OR(AB312="",AB312=0,AD312=""),"",AD312/AB312)</f>
        <v/>
      </c>
      <c r="AG312" s="27">
        <f>IF(OR(C312="",P312=""),"",((P312+IF(Q312="",0,Q312))-(C312+IF(D312="",0,D312)))*24)</f>
        <v/>
      </c>
      <c r="AH312" s="18">
        <f>IF(AG312="","",INT(AG312/24)&amp;"d "&amp;INT(MOD(AG312,24))&amp;"h "&amp;INT(MOD(AG312*60,60))&amp;"m")</f>
        <v/>
      </c>
      <c r="AI312" s="28">
        <f>IF(OR(O312="",K312="",H312=""),"",IF(OR(E312="XAUUSD",RIGHT(E312,3)="USD"),(O312-K312)*Z312*AA312*H312,IF(LEFT(E312,3)="USD",IF(O312=0,"",(O312-K312)*Z312*AA312*H312/O312),AD312*10*H312)))</f>
        <v/>
      </c>
      <c r="AJ312" s="28">
        <f>IF(O312="","",IF(S312="",IF(AI312="",0,AI312),S312)-IF(R312="",0,R312))</f>
        <v/>
      </c>
      <c r="AK312" s="18">
        <f>IF(C312="","",IF(OR(O312="",P312=""),"Open",IF(ABS(AJ312)&lt;=BEThreshold,"BE",IF(AJ312&gt;0,"Win","Loss"))))</f>
        <v/>
      </c>
      <c r="AL312" s="28">
        <f>IF(OR(C312="",AK312="Open"),"",InitialCapital+SUMIFS($AJ$2:AJ312,$AK$2:AK312,"&lt;&gt;Open"))</f>
        <v/>
      </c>
      <c r="AM312" s="18">
        <f>IF(OR(C312="",AK312=""),"",IF(AK312="Open","No","Yes"))</f>
        <v/>
      </c>
    </row>
    <row r="313" ht="18" customHeight="1">
      <c r="A313" s="18">
        <f>IF(C313="","",COUNTA($C$2:C313))</f>
        <v/>
      </c>
      <c r="B313" s="18">
        <f>IF(C313="","",TEXT(C313,"dddd"))</f>
        <v/>
      </c>
      <c r="C313" s="19" t="n"/>
      <c r="D313" s="20" t="n"/>
      <c r="E313" s="21" t="n"/>
      <c r="F313" s="21" t="n"/>
      <c r="G313" s="21" t="n"/>
      <c r="H313" s="22" t="n"/>
      <c r="I313" s="23" t="n"/>
      <c r="J313" s="22" t="n"/>
      <c r="K313" s="24" t="n"/>
      <c r="L313" s="24" t="n"/>
      <c r="M313" s="24" t="n"/>
      <c r="N313" s="21" t="n"/>
      <c r="O313" s="24" t="n"/>
      <c r="P313" s="19" t="n"/>
      <c r="Q313" s="20" t="n"/>
      <c r="R313" s="23" t="n"/>
      <c r="S313" s="23" t="n"/>
      <c r="T313" s="21" t="n"/>
      <c r="U313" s="21" t="n"/>
      <c r="V313" s="21" t="n"/>
      <c r="W313" s="21" t="n"/>
      <c r="X313" s="21" t="n"/>
      <c r="Y313" s="25">
        <f>IF($C313="","",IF(E313="XAUUSD",0.1,IF(ISNUMBER(SEARCH("JPY",E313)),0.01,0.0001)))</f>
        <v/>
      </c>
      <c r="Z313" s="18">
        <f>IF($C313="","",IF(F313="Sell",-1,1))</f>
        <v/>
      </c>
      <c r="AA313" s="18">
        <f>IF($C313="","",IF(E313="XAUUSD",100,100000))</f>
        <v/>
      </c>
      <c r="AB313" s="26">
        <f>IF(OR(K313="",L313=""),"",ABS(K313-L313)/Y313)</f>
        <v/>
      </c>
      <c r="AC313" s="26">
        <f>IF(OR(K313="",M313=""),"",ABS(M313-K313)/Y313)</f>
        <v/>
      </c>
      <c r="AD313" s="26">
        <f>IF(OR(K313="",O313=""),"",(O313-K313)*Z313/Y313)</f>
        <v/>
      </c>
      <c r="AE313" s="27">
        <f>IF(OR(AB313="",AB313=0,AC313=""),"",AC313/AB313)</f>
        <v/>
      </c>
      <c r="AF313" s="27">
        <f>IF(OR(AB313="",AB313=0,AD313=""),"",AD313/AB313)</f>
        <v/>
      </c>
      <c r="AG313" s="27">
        <f>IF(OR(C313="",P313=""),"",((P313+IF(Q313="",0,Q313))-(C313+IF(D313="",0,D313)))*24)</f>
        <v/>
      </c>
      <c r="AH313" s="18">
        <f>IF(AG313="","",INT(AG313/24)&amp;"d "&amp;INT(MOD(AG313,24))&amp;"h "&amp;INT(MOD(AG313*60,60))&amp;"m")</f>
        <v/>
      </c>
      <c r="AI313" s="28">
        <f>IF(OR(O313="",K313="",H313=""),"",IF(OR(E313="XAUUSD",RIGHT(E313,3)="USD"),(O313-K313)*Z313*AA313*H313,IF(LEFT(E313,3)="USD",IF(O313=0,"",(O313-K313)*Z313*AA313*H313/O313),AD313*10*H313)))</f>
        <v/>
      </c>
      <c r="AJ313" s="28">
        <f>IF(O313="","",IF(S313="",IF(AI313="",0,AI313),S313)-IF(R313="",0,R313))</f>
        <v/>
      </c>
      <c r="AK313" s="18">
        <f>IF(C313="","",IF(OR(O313="",P313=""),"Open",IF(ABS(AJ313)&lt;=BEThreshold,"BE",IF(AJ313&gt;0,"Win","Loss"))))</f>
        <v/>
      </c>
      <c r="AL313" s="28">
        <f>IF(OR(C313="",AK313="Open"),"",InitialCapital+SUMIFS($AJ$2:AJ313,$AK$2:AK313,"&lt;&gt;Open"))</f>
        <v/>
      </c>
      <c r="AM313" s="18">
        <f>IF(OR(C313="",AK313=""),"",IF(AK313="Open","No","Yes"))</f>
        <v/>
      </c>
    </row>
    <row r="314" ht="18" customHeight="1">
      <c r="A314" s="18">
        <f>IF(C314="","",COUNTA($C$2:C314))</f>
        <v/>
      </c>
      <c r="B314" s="18">
        <f>IF(C314="","",TEXT(C314,"dddd"))</f>
        <v/>
      </c>
      <c r="C314" s="19" t="n"/>
      <c r="D314" s="20" t="n"/>
      <c r="E314" s="21" t="n"/>
      <c r="F314" s="21" t="n"/>
      <c r="G314" s="21" t="n"/>
      <c r="H314" s="22" t="n"/>
      <c r="I314" s="23" t="n"/>
      <c r="J314" s="22" t="n"/>
      <c r="K314" s="24" t="n"/>
      <c r="L314" s="24" t="n"/>
      <c r="M314" s="24" t="n"/>
      <c r="N314" s="21" t="n"/>
      <c r="O314" s="24" t="n"/>
      <c r="P314" s="19" t="n"/>
      <c r="Q314" s="20" t="n"/>
      <c r="R314" s="23" t="n"/>
      <c r="S314" s="23" t="n"/>
      <c r="T314" s="21" t="n"/>
      <c r="U314" s="21" t="n"/>
      <c r="V314" s="21" t="n"/>
      <c r="W314" s="21" t="n"/>
      <c r="X314" s="21" t="n"/>
      <c r="Y314" s="25">
        <f>IF($C314="","",IF(E314="XAUUSD",0.1,IF(ISNUMBER(SEARCH("JPY",E314)),0.01,0.0001)))</f>
        <v/>
      </c>
      <c r="Z314" s="18">
        <f>IF($C314="","",IF(F314="Sell",-1,1))</f>
        <v/>
      </c>
      <c r="AA314" s="18">
        <f>IF($C314="","",IF(E314="XAUUSD",100,100000))</f>
        <v/>
      </c>
      <c r="AB314" s="26">
        <f>IF(OR(K314="",L314=""),"",ABS(K314-L314)/Y314)</f>
        <v/>
      </c>
      <c r="AC314" s="26">
        <f>IF(OR(K314="",M314=""),"",ABS(M314-K314)/Y314)</f>
        <v/>
      </c>
      <c r="AD314" s="26">
        <f>IF(OR(K314="",O314=""),"",(O314-K314)*Z314/Y314)</f>
        <v/>
      </c>
      <c r="AE314" s="27">
        <f>IF(OR(AB314="",AB314=0,AC314=""),"",AC314/AB314)</f>
        <v/>
      </c>
      <c r="AF314" s="27">
        <f>IF(OR(AB314="",AB314=0,AD314=""),"",AD314/AB314)</f>
        <v/>
      </c>
      <c r="AG314" s="27">
        <f>IF(OR(C314="",P314=""),"",((P314+IF(Q314="",0,Q314))-(C314+IF(D314="",0,D314)))*24)</f>
        <v/>
      </c>
      <c r="AH314" s="18">
        <f>IF(AG314="","",INT(AG314/24)&amp;"d "&amp;INT(MOD(AG314,24))&amp;"h "&amp;INT(MOD(AG314*60,60))&amp;"m")</f>
        <v/>
      </c>
      <c r="AI314" s="28">
        <f>IF(OR(O314="",K314="",H314=""),"",IF(OR(E314="XAUUSD",RIGHT(E314,3)="USD"),(O314-K314)*Z314*AA314*H314,IF(LEFT(E314,3)="USD",IF(O314=0,"",(O314-K314)*Z314*AA314*H314/O314),AD314*10*H314)))</f>
        <v/>
      </c>
      <c r="AJ314" s="28">
        <f>IF(O314="","",IF(S314="",IF(AI314="",0,AI314),S314)-IF(R314="",0,R314))</f>
        <v/>
      </c>
      <c r="AK314" s="18">
        <f>IF(C314="","",IF(OR(O314="",P314=""),"Open",IF(ABS(AJ314)&lt;=BEThreshold,"BE",IF(AJ314&gt;0,"Win","Loss"))))</f>
        <v/>
      </c>
      <c r="AL314" s="28">
        <f>IF(OR(C314="",AK314="Open"),"",InitialCapital+SUMIFS($AJ$2:AJ314,$AK$2:AK314,"&lt;&gt;Open"))</f>
        <v/>
      </c>
      <c r="AM314" s="18">
        <f>IF(OR(C314="",AK314=""),"",IF(AK314="Open","No","Yes"))</f>
        <v/>
      </c>
    </row>
    <row r="315" ht="18" customHeight="1">
      <c r="A315" s="18">
        <f>IF(C315="","",COUNTA($C$2:C315))</f>
        <v/>
      </c>
      <c r="B315" s="18">
        <f>IF(C315="","",TEXT(C315,"dddd"))</f>
        <v/>
      </c>
      <c r="C315" s="19" t="n"/>
      <c r="D315" s="20" t="n"/>
      <c r="E315" s="21" t="n"/>
      <c r="F315" s="21" t="n"/>
      <c r="G315" s="21" t="n"/>
      <c r="H315" s="22" t="n"/>
      <c r="I315" s="23" t="n"/>
      <c r="J315" s="22" t="n"/>
      <c r="K315" s="24" t="n"/>
      <c r="L315" s="24" t="n"/>
      <c r="M315" s="24" t="n"/>
      <c r="N315" s="21" t="n"/>
      <c r="O315" s="24" t="n"/>
      <c r="P315" s="19" t="n"/>
      <c r="Q315" s="20" t="n"/>
      <c r="R315" s="23" t="n"/>
      <c r="S315" s="23" t="n"/>
      <c r="T315" s="21" t="n"/>
      <c r="U315" s="21" t="n"/>
      <c r="V315" s="21" t="n"/>
      <c r="W315" s="21" t="n"/>
      <c r="X315" s="21" t="n"/>
      <c r="Y315" s="25">
        <f>IF($C315="","",IF(E315="XAUUSD",0.1,IF(ISNUMBER(SEARCH("JPY",E315)),0.01,0.0001)))</f>
        <v/>
      </c>
      <c r="Z315" s="18">
        <f>IF($C315="","",IF(F315="Sell",-1,1))</f>
        <v/>
      </c>
      <c r="AA315" s="18">
        <f>IF($C315="","",IF(E315="XAUUSD",100,100000))</f>
        <v/>
      </c>
      <c r="AB315" s="26">
        <f>IF(OR(K315="",L315=""),"",ABS(K315-L315)/Y315)</f>
        <v/>
      </c>
      <c r="AC315" s="26">
        <f>IF(OR(K315="",M315=""),"",ABS(M315-K315)/Y315)</f>
        <v/>
      </c>
      <c r="AD315" s="26">
        <f>IF(OR(K315="",O315=""),"",(O315-K315)*Z315/Y315)</f>
        <v/>
      </c>
      <c r="AE315" s="27">
        <f>IF(OR(AB315="",AB315=0,AC315=""),"",AC315/AB315)</f>
        <v/>
      </c>
      <c r="AF315" s="27">
        <f>IF(OR(AB315="",AB315=0,AD315=""),"",AD315/AB315)</f>
        <v/>
      </c>
      <c r="AG315" s="27">
        <f>IF(OR(C315="",P315=""),"",((P315+IF(Q315="",0,Q315))-(C315+IF(D315="",0,D315)))*24)</f>
        <v/>
      </c>
      <c r="AH315" s="18">
        <f>IF(AG315="","",INT(AG315/24)&amp;"d "&amp;INT(MOD(AG315,24))&amp;"h "&amp;INT(MOD(AG315*60,60))&amp;"m")</f>
        <v/>
      </c>
      <c r="AI315" s="28">
        <f>IF(OR(O315="",K315="",H315=""),"",IF(OR(E315="XAUUSD",RIGHT(E315,3)="USD"),(O315-K315)*Z315*AA315*H315,IF(LEFT(E315,3)="USD",IF(O315=0,"",(O315-K315)*Z315*AA315*H315/O315),AD315*10*H315)))</f>
        <v/>
      </c>
      <c r="AJ315" s="28">
        <f>IF(O315="","",IF(S315="",IF(AI315="",0,AI315),S315)-IF(R315="",0,R315))</f>
        <v/>
      </c>
      <c r="AK315" s="18">
        <f>IF(C315="","",IF(OR(O315="",P315=""),"Open",IF(ABS(AJ315)&lt;=BEThreshold,"BE",IF(AJ315&gt;0,"Win","Loss"))))</f>
        <v/>
      </c>
      <c r="AL315" s="28">
        <f>IF(OR(C315="",AK315="Open"),"",InitialCapital+SUMIFS($AJ$2:AJ315,$AK$2:AK315,"&lt;&gt;Open"))</f>
        <v/>
      </c>
      <c r="AM315" s="18">
        <f>IF(OR(C315="",AK315=""),"",IF(AK315="Open","No","Yes"))</f>
        <v/>
      </c>
    </row>
    <row r="316" ht="18" customHeight="1">
      <c r="A316" s="18">
        <f>IF(C316="","",COUNTA($C$2:C316))</f>
        <v/>
      </c>
      <c r="B316" s="18">
        <f>IF(C316="","",TEXT(C316,"dddd"))</f>
        <v/>
      </c>
      <c r="C316" s="19" t="n"/>
      <c r="D316" s="20" t="n"/>
      <c r="E316" s="21" t="n"/>
      <c r="F316" s="21" t="n"/>
      <c r="G316" s="21" t="n"/>
      <c r="H316" s="22" t="n"/>
      <c r="I316" s="23" t="n"/>
      <c r="J316" s="22" t="n"/>
      <c r="K316" s="24" t="n"/>
      <c r="L316" s="24" t="n"/>
      <c r="M316" s="24" t="n"/>
      <c r="N316" s="21" t="n"/>
      <c r="O316" s="24" t="n"/>
      <c r="P316" s="19" t="n"/>
      <c r="Q316" s="20" t="n"/>
      <c r="R316" s="23" t="n"/>
      <c r="S316" s="23" t="n"/>
      <c r="T316" s="21" t="n"/>
      <c r="U316" s="21" t="n"/>
      <c r="V316" s="21" t="n"/>
      <c r="W316" s="21" t="n"/>
      <c r="X316" s="21" t="n"/>
      <c r="Y316" s="25">
        <f>IF($C316="","",IF(E316="XAUUSD",0.1,IF(ISNUMBER(SEARCH("JPY",E316)),0.01,0.0001)))</f>
        <v/>
      </c>
      <c r="Z316" s="18">
        <f>IF($C316="","",IF(F316="Sell",-1,1))</f>
        <v/>
      </c>
      <c r="AA316" s="18">
        <f>IF($C316="","",IF(E316="XAUUSD",100,100000))</f>
        <v/>
      </c>
      <c r="AB316" s="26">
        <f>IF(OR(K316="",L316=""),"",ABS(K316-L316)/Y316)</f>
        <v/>
      </c>
      <c r="AC316" s="26">
        <f>IF(OR(K316="",M316=""),"",ABS(M316-K316)/Y316)</f>
        <v/>
      </c>
      <c r="AD316" s="26">
        <f>IF(OR(K316="",O316=""),"",(O316-K316)*Z316/Y316)</f>
        <v/>
      </c>
      <c r="AE316" s="27">
        <f>IF(OR(AB316="",AB316=0,AC316=""),"",AC316/AB316)</f>
        <v/>
      </c>
      <c r="AF316" s="27">
        <f>IF(OR(AB316="",AB316=0,AD316=""),"",AD316/AB316)</f>
        <v/>
      </c>
      <c r="AG316" s="27">
        <f>IF(OR(C316="",P316=""),"",((P316+IF(Q316="",0,Q316))-(C316+IF(D316="",0,D316)))*24)</f>
        <v/>
      </c>
      <c r="AH316" s="18">
        <f>IF(AG316="","",INT(AG316/24)&amp;"d "&amp;INT(MOD(AG316,24))&amp;"h "&amp;INT(MOD(AG316*60,60))&amp;"m")</f>
        <v/>
      </c>
      <c r="AI316" s="28">
        <f>IF(OR(O316="",K316="",H316=""),"",IF(OR(E316="XAUUSD",RIGHT(E316,3)="USD"),(O316-K316)*Z316*AA316*H316,IF(LEFT(E316,3)="USD",IF(O316=0,"",(O316-K316)*Z316*AA316*H316/O316),AD316*10*H316)))</f>
        <v/>
      </c>
      <c r="AJ316" s="28">
        <f>IF(O316="","",IF(S316="",IF(AI316="",0,AI316),S316)-IF(R316="",0,R316))</f>
        <v/>
      </c>
      <c r="AK316" s="18">
        <f>IF(C316="","",IF(OR(O316="",P316=""),"Open",IF(ABS(AJ316)&lt;=BEThreshold,"BE",IF(AJ316&gt;0,"Win","Loss"))))</f>
        <v/>
      </c>
      <c r="AL316" s="28">
        <f>IF(OR(C316="",AK316="Open"),"",InitialCapital+SUMIFS($AJ$2:AJ316,$AK$2:AK316,"&lt;&gt;Open"))</f>
        <v/>
      </c>
      <c r="AM316" s="18">
        <f>IF(OR(C316="",AK316=""),"",IF(AK316="Open","No","Yes"))</f>
        <v/>
      </c>
    </row>
    <row r="317" ht="18" customHeight="1">
      <c r="A317" s="18">
        <f>IF(C317="","",COUNTA($C$2:C317))</f>
        <v/>
      </c>
      <c r="B317" s="18">
        <f>IF(C317="","",TEXT(C317,"dddd"))</f>
        <v/>
      </c>
      <c r="C317" s="19" t="n"/>
      <c r="D317" s="20" t="n"/>
      <c r="E317" s="21" t="n"/>
      <c r="F317" s="21" t="n"/>
      <c r="G317" s="21" t="n"/>
      <c r="H317" s="22" t="n"/>
      <c r="I317" s="23" t="n"/>
      <c r="J317" s="22" t="n"/>
      <c r="K317" s="24" t="n"/>
      <c r="L317" s="24" t="n"/>
      <c r="M317" s="24" t="n"/>
      <c r="N317" s="21" t="n"/>
      <c r="O317" s="24" t="n"/>
      <c r="P317" s="19" t="n"/>
      <c r="Q317" s="20" t="n"/>
      <c r="R317" s="23" t="n"/>
      <c r="S317" s="23" t="n"/>
      <c r="T317" s="21" t="n"/>
      <c r="U317" s="21" t="n"/>
      <c r="V317" s="21" t="n"/>
      <c r="W317" s="21" t="n"/>
      <c r="X317" s="21" t="n"/>
      <c r="Y317" s="25">
        <f>IF($C317="","",IF(E317="XAUUSD",0.1,IF(ISNUMBER(SEARCH("JPY",E317)),0.01,0.0001)))</f>
        <v/>
      </c>
      <c r="Z317" s="18">
        <f>IF($C317="","",IF(F317="Sell",-1,1))</f>
        <v/>
      </c>
      <c r="AA317" s="18">
        <f>IF($C317="","",IF(E317="XAUUSD",100,100000))</f>
        <v/>
      </c>
      <c r="AB317" s="26">
        <f>IF(OR(K317="",L317=""),"",ABS(K317-L317)/Y317)</f>
        <v/>
      </c>
      <c r="AC317" s="26">
        <f>IF(OR(K317="",M317=""),"",ABS(M317-K317)/Y317)</f>
        <v/>
      </c>
      <c r="AD317" s="26">
        <f>IF(OR(K317="",O317=""),"",(O317-K317)*Z317/Y317)</f>
        <v/>
      </c>
      <c r="AE317" s="27">
        <f>IF(OR(AB317="",AB317=0,AC317=""),"",AC317/AB317)</f>
        <v/>
      </c>
      <c r="AF317" s="27">
        <f>IF(OR(AB317="",AB317=0,AD317=""),"",AD317/AB317)</f>
        <v/>
      </c>
      <c r="AG317" s="27">
        <f>IF(OR(C317="",P317=""),"",((P317+IF(Q317="",0,Q317))-(C317+IF(D317="",0,D317)))*24)</f>
        <v/>
      </c>
      <c r="AH317" s="18">
        <f>IF(AG317="","",INT(AG317/24)&amp;"d "&amp;INT(MOD(AG317,24))&amp;"h "&amp;INT(MOD(AG317*60,60))&amp;"m")</f>
        <v/>
      </c>
      <c r="AI317" s="28">
        <f>IF(OR(O317="",K317="",H317=""),"",IF(OR(E317="XAUUSD",RIGHT(E317,3)="USD"),(O317-K317)*Z317*AA317*H317,IF(LEFT(E317,3)="USD",IF(O317=0,"",(O317-K317)*Z317*AA317*H317/O317),AD317*10*H317)))</f>
        <v/>
      </c>
      <c r="AJ317" s="28">
        <f>IF(O317="","",IF(S317="",IF(AI317="",0,AI317),S317)-IF(R317="",0,R317))</f>
        <v/>
      </c>
      <c r="AK317" s="18">
        <f>IF(C317="","",IF(OR(O317="",P317=""),"Open",IF(ABS(AJ317)&lt;=BEThreshold,"BE",IF(AJ317&gt;0,"Win","Loss"))))</f>
        <v/>
      </c>
      <c r="AL317" s="28">
        <f>IF(OR(C317="",AK317="Open"),"",InitialCapital+SUMIFS($AJ$2:AJ317,$AK$2:AK317,"&lt;&gt;Open"))</f>
        <v/>
      </c>
      <c r="AM317" s="18">
        <f>IF(OR(C317="",AK317=""),"",IF(AK317="Open","No","Yes"))</f>
        <v/>
      </c>
    </row>
    <row r="318" ht="18" customHeight="1">
      <c r="A318" s="18">
        <f>IF(C318="","",COUNTA($C$2:C318))</f>
        <v/>
      </c>
      <c r="B318" s="18">
        <f>IF(C318="","",TEXT(C318,"dddd"))</f>
        <v/>
      </c>
      <c r="C318" s="19" t="n"/>
      <c r="D318" s="20" t="n"/>
      <c r="E318" s="21" t="n"/>
      <c r="F318" s="21" t="n"/>
      <c r="G318" s="21" t="n"/>
      <c r="H318" s="22" t="n"/>
      <c r="I318" s="23" t="n"/>
      <c r="J318" s="22" t="n"/>
      <c r="K318" s="24" t="n"/>
      <c r="L318" s="24" t="n"/>
      <c r="M318" s="24" t="n"/>
      <c r="N318" s="21" t="n"/>
      <c r="O318" s="24" t="n"/>
      <c r="P318" s="19" t="n"/>
      <c r="Q318" s="20" t="n"/>
      <c r="R318" s="23" t="n"/>
      <c r="S318" s="23" t="n"/>
      <c r="T318" s="21" t="n"/>
      <c r="U318" s="21" t="n"/>
      <c r="V318" s="21" t="n"/>
      <c r="W318" s="21" t="n"/>
      <c r="X318" s="21" t="n"/>
      <c r="Y318" s="25">
        <f>IF($C318="","",IF(E318="XAUUSD",0.1,IF(ISNUMBER(SEARCH("JPY",E318)),0.01,0.0001)))</f>
        <v/>
      </c>
      <c r="Z318" s="18">
        <f>IF($C318="","",IF(F318="Sell",-1,1))</f>
        <v/>
      </c>
      <c r="AA318" s="18">
        <f>IF($C318="","",IF(E318="XAUUSD",100,100000))</f>
        <v/>
      </c>
      <c r="AB318" s="26">
        <f>IF(OR(K318="",L318=""),"",ABS(K318-L318)/Y318)</f>
        <v/>
      </c>
      <c r="AC318" s="26">
        <f>IF(OR(K318="",M318=""),"",ABS(M318-K318)/Y318)</f>
        <v/>
      </c>
      <c r="AD318" s="26">
        <f>IF(OR(K318="",O318=""),"",(O318-K318)*Z318/Y318)</f>
        <v/>
      </c>
      <c r="AE318" s="27">
        <f>IF(OR(AB318="",AB318=0,AC318=""),"",AC318/AB318)</f>
        <v/>
      </c>
      <c r="AF318" s="27">
        <f>IF(OR(AB318="",AB318=0,AD318=""),"",AD318/AB318)</f>
        <v/>
      </c>
      <c r="AG318" s="27">
        <f>IF(OR(C318="",P318=""),"",((P318+IF(Q318="",0,Q318))-(C318+IF(D318="",0,D318)))*24)</f>
        <v/>
      </c>
      <c r="AH318" s="18">
        <f>IF(AG318="","",INT(AG318/24)&amp;"d "&amp;INT(MOD(AG318,24))&amp;"h "&amp;INT(MOD(AG318*60,60))&amp;"m")</f>
        <v/>
      </c>
      <c r="AI318" s="28">
        <f>IF(OR(O318="",K318="",H318=""),"",IF(OR(E318="XAUUSD",RIGHT(E318,3)="USD"),(O318-K318)*Z318*AA318*H318,IF(LEFT(E318,3)="USD",IF(O318=0,"",(O318-K318)*Z318*AA318*H318/O318),AD318*10*H318)))</f>
        <v/>
      </c>
      <c r="AJ318" s="28">
        <f>IF(O318="","",IF(S318="",IF(AI318="",0,AI318),S318)-IF(R318="",0,R318))</f>
        <v/>
      </c>
      <c r="AK318" s="18">
        <f>IF(C318="","",IF(OR(O318="",P318=""),"Open",IF(ABS(AJ318)&lt;=BEThreshold,"BE",IF(AJ318&gt;0,"Win","Loss"))))</f>
        <v/>
      </c>
      <c r="AL318" s="28">
        <f>IF(OR(C318="",AK318="Open"),"",InitialCapital+SUMIFS($AJ$2:AJ318,$AK$2:AK318,"&lt;&gt;Open"))</f>
        <v/>
      </c>
      <c r="AM318" s="18">
        <f>IF(OR(C318="",AK318=""),"",IF(AK318="Open","No","Yes"))</f>
        <v/>
      </c>
    </row>
    <row r="319" ht="18" customHeight="1">
      <c r="A319" s="18">
        <f>IF(C319="","",COUNTA($C$2:C319))</f>
        <v/>
      </c>
      <c r="B319" s="18">
        <f>IF(C319="","",TEXT(C319,"dddd"))</f>
        <v/>
      </c>
      <c r="C319" s="19" t="n"/>
      <c r="D319" s="20" t="n"/>
      <c r="E319" s="21" t="n"/>
      <c r="F319" s="21" t="n"/>
      <c r="G319" s="21" t="n"/>
      <c r="H319" s="22" t="n"/>
      <c r="I319" s="23" t="n"/>
      <c r="J319" s="22" t="n"/>
      <c r="K319" s="24" t="n"/>
      <c r="L319" s="24" t="n"/>
      <c r="M319" s="24" t="n"/>
      <c r="N319" s="21" t="n"/>
      <c r="O319" s="24" t="n"/>
      <c r="P319" s="19" t="n"/>
      <c r="Q319" s="20" t="n"/>
      <c r="R319" s="23" t="n"/>
      <c r="S319" s="23" t="n"/>
      <c r="T319" s="21" t="n"/>
      <c r="U319" s="21" t="n"/>
      <c r="V319" s="21" t="n"/>
      <c r="W319" s="21" t="n"/>
      <c r="X319" s="21" t="n"/>
      <c r="Y319" s="25">
        <f>IF($C319="","",IF(E319="XAUUSD",0.1,IF(ISNUMBER(SEARCH("JPY",E319)),0.01,0.0001)))</f>
        <v/>
      </c>
      <c r="Z319" s="18">
        <f>IF($C319="","",IF(F319="Sell",-1,1))</f>
        <v/>
      </c>
      <c r="AA319" s="18">
        <f>IF($C319="","",IF(E319="XAUUSD",100,100000))</f>
        <v/>
      </c>
      <c r="AB319" s="26">
        <f>IF(OR(K319="",L319=""),"",ABS(K319-L319)/Y319)</f>
        <v/>
      </c>
      <c r="AC319" s="26">
        <f>IF(OR(K319="",M319=""),"",ABS(M319-K319)/Y319)</f>
        <v/>
      </c>
      <c r="AD319" s="26">
        <f>IF(OR(K319="",O319=""),"",(O319-K319)*Z319/Y319)</f>
        <v/>
      </c>
      <c r="AE319" s="27">
        <f>IF(OR(AB319="",AB319=0,AC319=""),"",AC319/AB319)</f>
        <v/>
      </c>
      <c r="AF319" s="27">
        <f>IF(OR(AB319="",AB319=0,AD319=""),"",AD319/AB319)</f>
        <v/>
      </c>
      <c r="AG319" s="27">
        <f>IF(OR(C319="",P319=""),"",((P319+IF(Q319="",0,Q319))-(C319+IF(D319="",0,D319)))*24)</f>
        <v/>
      </c>
      <c r="AH319" s="18">
        <f>IF(AG319="","",INT(AG319/24)&amp;"d "&amp;INT(MOD(AG319,24))&amp;"h "&amp;INT(MOD(AG319*60,60))&amp;"m")</f>
        <v/>
      </c>
      <c r="AI319" s="28">
        <f>IF(OR(O319="",K319="",H319=""),"",IF(OR(E319="XAUUSD",RIGHT(E319,3)="USD"),(O319-K319)*Z319*AA319*H319,IF(LEFT(E319,3)="USD",IF(O319=0,"",(O319-K319)*Z319*AA319*H319/O319),AD319*10*H319)))</f>
        <v/>
      </c>
      <c r="AJ319" s="28">
        <f>IF(O319="","",IF(S319="",IF(AI319="",0,AI319),S319)-IF(R319="",0,R319))</f>
        <v/>
      </c>
      <c r="AK319" s="18">
        <f>IF(C319="","",IF(OR(O319="",P319=""),"Open",IF(ABS(AJ319)&lt;=BEThreshold,"BE",IF(AJ319&gt;0,"Win","Loss"))))</f>
        <v/>
      </c>
      <c r="AL319" s="28">
        <f>IF(OR(C319="",AK319="Open"),"",InitialCapital+SUMIFS($AJ$2:AJ319,$AK$2:AK319,"&lt;&gt;Open"))</f>
        <v/>
      </c>
      <c r="AM319" s="18">
        <f>IF(OR(C319="",AK319=""),"",IF(AK319="Open","No","Yes"))</f>
        <v/>
      </c>
    </row>
    <row r="320" ht="18" customHeight="1">
      <c r="A320" s="18">
        <f>IF(C320="","",COUNTA($C$2:C320))</f>
        <v/>
      </c>
      <c r="B320" s="18">
        <f>IF(C320="","",TEXT(C320,"dddd"))</f>
        <v/>
      </c>
      <c r="C320" s="19" t="n"/>
      <c r="D320" s="20" t="n"/>
      <c r="E320" s="21" t="n"/>
      <c r="F320" s="21" t="n"/>
      <c r="G320" s="21" t="n"/>
      <c r="H320" s="22" t="n"/>
      <c r="I320" s="23" t="n"/>
      <c r="J320" s="22" t="n"/>
      <c r="K320" s="24" t="n"/>
      <c r="L320" s="24" t="n"/>
      <c r="M320" s="24" t="n"/>
      <c r="N320" s="21" t="n"/>
      <c r="O320" s="24" t="n"/>
      <c r="P320" s="19" t="n"/>
      <c r="Q320" s="20" t="n"/>
      <c r="R320" s="23" t="n"/>
      <c r="S320" s="23" t="n"/>
      <c r="T320" s="21" t="n"/>
      <c r="U320" s="21" t="n"/>
      <c r="V320" s="21" t="n"/>
      <c r="W320" s="21" t="n"/>
      <c r="X320" s="21" t="n"/>
      <c r="Y320" s="25">
        <f>IF($C320="","",IF(E320="XAUUSD",0.1,IF(ISNUMBER(SEARCH("JPY",E320)),0.01,0.0001)))</f>
        <v/>
      </c>
      <c r="Z320" s="18">
        <f>IF($C320="","",IF(F320="Sell",-1,1))</f>
        <v/>
      </c>
      <c r="AA320" s="18">
        <f>IF($C320="","",IF(E320="XAUUSD",100,100000))</f>
        <v/>
      </c>
      <c r="AB320" s="26">
        <f>IF(OR(K320="",L320=""),"",ABS(K320-L320)/Y320)</f>
        <v/>
      </c>
      <c r="AC320" s="26">
        <f>IF(OR(K320="",M320=""),"",ABS(M320-K320)/Y320)</f>
        <v/>
      </c>
      <c r="AD320" s="26">
        <f>IF(OR(K320="",O320=""),"",(O320-K320)*Z320/Y320)</f>
        <v/>
      </c>
      <c r="AE320" s="27">
        <f>IF(OR(AB320="",AB320=0,AC320=""),"",AC320/AB320)</f>
        <v/>
      </c>
      <c r="AF320" s="27">
        <f>IF(OR(AB320="",AB320=0,AD320=""),"",AD320/AB320)</f>
        <v/>
      </c>
      <c r="AG320" s="27">
        <f>IF(OR(C320="",P320=""),"",((P320+IF(Q320="",0,Q320))-(C320+IF(D320="",0,D320)))*24)</f>
        <v/>
      </c>
      <c r="AH320" s="18">
        <f>IF(AG320="","",INT(AG320/24)&amp;"d "&amp;INT(MOD(AG320,24))&amp;"h "&amp;INT(MOD(AG320*60,60))&amp;"m")</f>
        <v/>
      </c>
      <c r="AI320" s="28">
        <f>IF(OR(O320="",K320="",H320=""),"",IF(OR(E320="XAUUSD",RIGHT(E320,3)="USD"),(O320-K320)*Z320*AA320*H320,IF(LEFT(E320,3)="USD",IF(O320=0,"",(O320-K320)*Z320*AA320*H320/O320),AD320*10*H320)))</f>
        <v/>
      </c>
      <c r="AJ320" s="28">
        <f>IF(O320="","",IF(S320="",IF(AI320="",0,AI320),S320)-IF(R320="",0,R320))</f>
        <v/>
      </c>
      <c r="AK320" s="18">
        <f>IF(C320="","",IF(OR(O320="",P320=""),"Open",IF(ABS(AJ320)&lt;=BEThreshold,"BE",IF(AJ320&gt;0,"Win","Loss"))))</f>
        <v/>
      </c>
      <c r="AL320" s="28">
        <f>IF(OR(C320="",AK320="Open"),"",InitialCapital+SUMIFS($AJ$2:AJ320,$AK$2:AK320,"&lt;&gt;Open"))</f>
        <v/>
      </c>
      <c r="AM320" s="18">
        <f>IF(OR(C320="",AK320=""),"",IF(AK320="Open","No","Yes"))</f>
        <v/>
      </c>
    </row>
    <row r="321" ht="18" customHeight="1">
      <c r="A321" s="18">
        <f>IF(C321="","",COUNTA($C$2:C321))</f>
        <v/>
      </c>
      <c r="B321" s="18">
        <f>IF(C321="","",TEXT(C321,"dddd"))</f>
        <v/>
      </c>
      <c r="C321" s="19" t="n"/>
      <c r="D321" s="20" t="n"/>
      <c r="E321" s="21" t="n"/>
      <c r="F321" s="21" t="n"/>
      <c r="G321" s="21" t="n"/>
      <c r="H321" s="22" t="n"/>
      <c r="I321" s="23" t="n"/>
      <c r="J321" s="22" t="n"/>
      <c r="K321" s="24" t="n"/>
      <c r="L321" s="24" t="n"/>
      <c r="M321" s="24" t="n"/>
      <c r="N321" s="21" t="n"/>
      <c r="O321" s="24" t="n"/>
      <c r="P321" s="19" t="n"/>
      <c r="Q321" s="20" t="n"/>
      <c r="R321" s="23" t="n"/>
      <c r="S321" s="23" t="n"/>
      <c r="T321" s="21" t="n"/>
      <c r="U321" s="21" t="n"/>
      <c r="V321" s="21" t="n"/>
      <c r="W321" s="21" t="n"/>
      <c r="X321" s="21" t="n"/>
      <c r="Y321" s="25">
        <f>IF($C321="","",IF(E321="XAUUSD",0.1,IF(ISNUMBER(SEARCH("JPY",E321)),0.01,0.0001)))</f>
        <v/>
      </c>
      <c r="Z321" s="18">
        <f>IF($C321="","",IF(F321="Sell",-1,1))</f>
        <v/>
      </c>
      <c r="AA321" s="18">
        <f>IF($C321="","",IF(E321="XAUUSD",100,100000))</f>
        <v/>
      </c>
      <c r="AB321" s="26">
        <f>IF(OR(K321="",L321=""),"",ABS(K321-L321)/Y321)</f>
        <v/>
      </c>
      <c r="AC321" s="26">
        <f>IF(OR(K321="",M321=""),"",ABS(M321-K321)/Y321)</f>
        <v/>
      </c>
      <c r="AD321" s="26">
        <f>IF(OR(K321="",O321=""),"",(O321-K321)*Z321/Y321)</f>
        <v/>
      </c>
      <c r="AE321" s="27">
        <f>IF(OR(AB321="",AB321=0,AC321=""),"",AC321/AB321)</f>
        <v/>
      </c>
      <c r="AF321" s="27">
        <f>IF(OR(AB321="",AB321=0,AD321=""),"",AD321/AB321)</f>
        <v/>
      </c>
      <c r="AG321" s="27">
        <f>IF(OR(C321="",P321=""),"",((P321+IF(Q321="",0,Q321))-(C321+IF(D321="",0,D321)))*24)</f>
        <v/>
      </c>
      <c r="AH321" s="18">
        <f>IF(AG321="","",INT(AG321/24)&amp;"d "&amp;INT(MOD(AG321,24))&amp;"h "&amp;INT(MOD(AG321*60,60))&amp;"m")</f>
        <v/>
      </c>
      <c r="AI321" s="28">
        <f>IF(OR(O321="",K321="",H321=""),"",IF(OR(E321="XAUUSD",RIGHT(E321,3)="USD"),(O321-K321)*Z321*AA321*H321,IF(LEFT(E321,3)="USD",IF(O321=0,"",(O321-K321)*Z321*AA321*H321/O321),AD321*10*H321)))</f>
        <v/>
      </c>
      <c r="AJ321" s="28">
        <f>IF(O321="","",IF(S321="",IF(AI321="",0,AI321),S321)-IF(R321="",0,R321))</f>
        <v/>
      </c>
      <c r="AK321" s="18">
        <f>IF(C321="","",IF(OR(O321="",P321=""),"Open",IF(ABS(AJ321)&lt;=BEThreshold,"BE",IF(AJ321&gt;0,"Win","Loss"))))</f>
        <v/>
      </c>
      <c r="AL321" s="28">
        <f>IF(OR(C321="",AK321="Open"),"",InitialCapital+SUMIFS($AJ$2:AJ321,$AK$2:AK321,"&lt;&gt;Open"))</f>
        <v/>
      </c>
      <c r="AM321" s="18">
        <f>IF(OR(C321="",AK321=""),"",IF(AK321="Open","No","Yes"))</f>
        <v/>
      </c>
    </row>
    <row r="322" ht="18" customHeight="1">
      <c r="A322" s="18">
        <f>IF(C322="","",COUNTA($C$2:C322))</f>
        <v/>
      </c>
      <c r="B322" s="18">
        <f>IF(C322="","",TEXT(C322,"dddd"))</f>
        <v/>
      </c>
      <c r="C322" s="19" t="n"/>
      <c r="D322" s="20" t="n"/>
      <c r="E322" s="21" t="n"/>
      <c r="F322" s="21" t="n"/>
      <c r="G322" s="21" t="n"/>
      <c r="H322" s="22" t="n"/>
      <c r="I322" s="23" t="n"/>
      <c r="J322" s="22" t="n"/>
      <c r="K322" s="24" t="n"/>
      <c r="L322" s="24" t="n"/>
      <c r="M322" s="24" t="n"/>
      <c r="N322" s="21" t="n"/>
      <c r="O322" s="24" t="n"/>
      <c r="P322" s="19" t="n"/>
      <c r="Q322" s="20" t="n"/>
      <c r="R322" s="23" t="n"/>
      <c r="S322" s="23" t="n"/>
      <c r="T322" s="21" t="n"/>
      <c r="U322" s="21" t="n"/>
      <c r="V322" s="21" t="n"/>
      <c r="W322" s="21" t="n"/>
      <c r="X322" s="21" t="n"/>
      <c r="Y322" s="25">
        <f>IF($C322="","",IF(E322="XAUUSD",0.1,IF(ISNUMBER(SEARCH("JPY",E322)),0.01,0.0001)))</f>
        <v/>
      </c>
      <c r="Z322" s="18">
        <f>IF($C322="","",IF(F322="Sell",-1,1))</f>
        <v/>
      </c>
      <c r="AA322" s="18">
        <f>IF($C322="","",IF(E322="XAUUSD",100,100000))</f>
        <v/>
      </c>
      <c r="AB322" s="26">
        <f>IF(OR(K322="",L322=""),"",ABS(K322-L322)/Y322)</f>
        <v/>
      </c>
      <c r="AC322" s="26">
        <f>IF(OR(K322="",M322=""),"",ABS(M322-K322)/Y322)</f>
        <v/>
      </c>
      <c r="AD322" s="26">
        <f>IF(OR(K322="",O322=""),"",(O322-K322)*Z322/Y322)</f>
        <v/>
      </c>
      <c r="AE322" s="27">
        <f>IF(OR(AB322="",AB322=0,AC322=""),"",AC322/AB322)</f>
        <v/>
      </c>
      <c r="AF322" s="27">
        <f>IF(OR(AB322="",AB322=0,AD322=""),"",AD322/AB322)</f>
        <v/>
      </c>
      <c r="AG322" s="27">
        <f>IF(OR(C322="",P322=""),"",((P322+IF(Q322="",0,Q322))-(C322+IF(D322="",0,D322)))*24)</f>
        <v/>
      </c>
      <c r="AH322" s="18">
        <f>IF(AG322="","",INT(AG322/24)&amp;"d "&amp;INT(MOD(AG322,24))&amp;"h "&amp;INT(MOD(AG322*60,60))&amp;"m")</f>
        <v/>
      </c>
      <c r="AI322" s="28">
        <f>IF(OR(O322="",K322="",H322=""),"",IF(OR(E322="XAUUSD",RIGHT(E322,3)="USD"),(O322-K322)*Z322*AA322*H322,IF(LEFT(E322,3)="USD",IF(O322=0,"",(O322-K322)*Z322*AA322*H322/O322),AD322*10*H322)))</f>
        <v/>
      </c>
      <c r="AJ322" s="28">
        <f>IF(O322="","",IF(S322="",IF(AI322="",0,AI322),S322)-IF(R322="",0,R322))</f>
        <v/>
      </c>
      <c r="AK322" s="18">
        <f>IF(C322="","",IF(OR(O322="",P322=""),"Open",IF(ABS(AJ322)&lt;=BEThreshold,"BE",IF(AJ322&gt;0,"Win","Loss"))))</f>
        <v/>
      </c>
      <c r="AL322" s="28">
        <f>IF(OR(C322="",AK322="Open"),"",InitialCapital+SUMIFS($AJ$2:AJ322,$AK$2:AK322,"&lt;&gt;Open"))</f>
        <v/>
      </c>
      <c r="AM322" s="18">
        <f>IF(OR(C322="",AK322=""),"",IF(AK322="Open","No","Yes"))</f>
        <v/>
      </c>
    </row>
    <row r="323" ht="18" customHeight="1">
      <c r="A323" s="18">
        <f>IF(C323="","",COUNTA($C$2:C323))</f>
        <v/>
      </c>
      <c r="B323" s="18">
        <f>IF(C323="","",TEXT(C323,"dddd"))</f>
        <v/>
      </c>
      <c r="C323" s="19" t="n"/>
      <c r="D323" s="20" t="n"/>
      <c r="E323" s="21" t="n"/>
      <c r="F323" s="21" t="n"/>
      <c r="G323" s="21" t="n"/>
      <c r="H323" s="22" t="n"/>
      <c r="I323" s="23" t="n"/>
      <c r="J323" s="22" t="n"/>
      <c r="K323" s="24" t="n"/>
      <c r="L323" s="24" t="n"/>
      <c r="M323" s="24" t="n"/>
      <c r="N323" s="21" t="n"/>
      <c r="O323" s="24" t="n"/>
      <c r="P323" s="19" t="n"/>
      <c r="Q323" s="20" t="n"/>
      <c r="R323" s="23" t="n"/>
      <c r="S323" s="23" t="n"/>
      <c r="T323" s="21" t="n"/>
      <c r="U323" s="21" t="n"/>
      <c r="V323" s="21" t="n"/>
      <c r="W323" s="21" t="n"/>
      <c r="X323" s="21" t="n"/>
      <c r="Y323" s="25">
        <f>IF($C323="","",IF(E323="XAUUSD",0.1,IF(ISNUMBER(SEARCH("JPY",E323)),0.01,0.0001)))</f>
        <v/>
      </c>
      <c r="Z323" s="18">
        <f>IF($C323="","",IF(F323="Sell",-1,1))</f>
        <v/>
      </c>
      <c r="AA323" s="18">
        <f>IF($C323="","",IF(E323="XAUUSD",100,100000))</f>
        <v/>
      </c>
      <c r="AB323" s="26">
        <f>IF(OR(K323="",L323=""),"",ABS(K323-L323)/Y323)</f>
        <v/>
      </c>
      <c r="AC323" s="26">
        <f>IF(OR(K323="",M323=""),"",ABS(M323-K323)/Y323)</f>
        <v/>
      </c>
      <c r="AD323" s="26">
        <f>IF(OR(K323="",O323=""),"",(O323-K323)*Z323/Y323)</f>
        <v/>
      </c>
      <c r="AE323" s="27">
        <f>IF(OR(AB323="",AB323=0,AC323=""),"",AC323/AB323)</f>
        <v/>
      </c>
      <c r="AF323" s="27">
        <f>IF(OR(AB323="",AB323=0,AD323=""),"",AD323/AB323)</f>
        <v/>
      </c>
      <c r="AG323" s="27">
        <f>IF(OR(C323="",P323=""),"",((P323+IF(Q323="",0,Q323))-(C323+IF(D323="",0,D323)))*24)</f>
        <v/>
      </c>
      <c r="AH323" s="18">
        <f>IF(AG323="","",INT(AG323/24)&amp;"d "&amp;INT(MOD(AG323,24))&amp;"h "&amp;INT(MOD(AG323*60,60))&amp;"m")</f>
        <v/>
      </c>
      <c r="AI323" s="28">
        <f>IF(OR(O323="",K323="",H323=""),"",IF(OR(E323="XAUUSD",RIGHT(E323,3)="USD"),(O323-K323)*Z323*AA323*H323,IF(LEFT(E323,3)="USD",IF(O323=0,"",(O323-K323)*Z323*AA323*H323/O323),AD323*10*H323)))</f>
        <v/>
      </c>
      <c r="AJ323" s="28">
        <f>IF(O323="","",IF(S323="",IF(AI323="",0,AI323),S323)-IF(R323="",0,R323))</f>
        <v/>
      </c>
      <c r="AK323" s="18">
        <f>IF(C323="","",IF(OR(O323="",P323=""),"Open",IF(ABS(AJ323)&lt;=BEThreshold,"BE",IF(AJ323&gt;0,"Win","Loss"))))</f>
        <v/>
      </c>
      <c r="AL323" s="28">
        <f>IF(OR(C323="",AK323="Open"),"",InitialCapital+SUMIFS($AJ$2:AJ323,$AK$2:AK323,"&lt;&gt;Open"))</f>
        <v/>
      </c>
      <c r="AM323" s="18">
        <f>IF(OR(C323="",AK323=""),"",IF(AK323="Open","No","Yes"))</f>
        <v/>
      </c>
    </row>
    <row r="324" ht="18" customHeight="1">
      <c r="A324" s="18">
        <f>IF(C324="","",COUNTA($C$2:C324))</f>
        <v/>
      </c>
      <c r="B324" s="18">
        <f>IF(C324="","",TEXT(C324,"dddd"))</f>
        <v/>
      </c>
      <c r="C324" s="19" t="n"/>
      <c r="D324" s="20" t="n"/>
      <c r="E324" s="21" t="n"/>
      <c r="F324" s="21" t="n"/>
      <c r="G324" s="21" t="n"/>
      <c r="H324" s="22" t="n"/>
      <c r="I324" s="23" t="n"/>
      <c r="J324" s="22" t="n"/>
      <c r="K324" s="24" t="n"/>
      <c r="L324" s="24" t="n"/>
      <c r="M324" s="24" t="n"/>
      <c r="N324" s="21" t="n"/>
      <c r="O324" s="24" t="n"/>
      <c r="P324" s="19" t="n"/>
      <c r="Q324" s="20" t="n"/>
      <c r="R324" s="23" t="n"/>
      <c r="S324" s="23" t="n"/>
      <c r="T324" s="21" t="n"/>
      <c r="U324" s="21" t="n"/>
      <c r="V324" s="21" t="n"/>
      <c r="W324" s="21" t="n"/>
      <c r="X324" s="21" t="n"/>
      <c r="Y324" s="25">
        <f>IF($C324="","",IF(E324="XAUUSD",0.1,IF(ISNUMBER(SEARCH("JPY",E324)),0.01,0.0001)))</f>
        <v/>
      </c>
      <c r="Z324" s="18">
        <f>IF($C324="","",IF(F324="Sell",-1,1))</f>
        <v/>
      </c>
      <c r="AA324" s="18">
        <f>IF($C324="","",IF(E324="XAUUSD",100,100000))</f>
        <v/>
      </c>
      <c r="AB324" s="26">
        <f>IF(OR(K324="",L324=""),"",ABS(K324-L324)/Y324)</f>
        <v/>
      </c>
      <c r="AC324" s="26">
        <f>IF(OR(K324="",M324=""),"",ABS(M324-K324)/Y324)</f>
        <v/>
      </c>
      <c r="AD324" s="26">
        <f>IF(OR(K324="",O324=""),"",(O324-K324)*Z324/Y324)</f>
        <v/>
      </c>
      <c r="AE324" s="27">
        <f>IF(OR(AB324="",AB324=0,AC324=""),"",AC324/AB324)</f>
        <v/>
      </c>
      <c r="AF324" s="27">
        <f>IF(OR(AB324="",AB324=0,AD324=""),"",AD324/AB324)</f>
        <v/>
      </c>
      <c r="AG324" s="27">
        <f>IF(OR(C324="",P324=""),"",((P324+IF(Q324="",0,Q324))-(C324+IF(D324="",0,D324)))*24)</f>
        <v/>
      </c>
      <c r="AH324" s="18">
        <f>IF(AG324="","",INT(AG324/24)&amp;"d "&amp;INT(MOD(AG324,24))&amp;"h "&amp;INT(MOD(AG324*60,60))&amp;"m")</f>
        <v/>
      </c>
      <c r="AI324" s="28">
        <f>IF(OR(O324="",K324="",H324=""),"",IF(OR(E324="XAUUSD",RIGHT(E324,3)="USD"),(O324-K324)*Z324*AA324*H324,IF(LEFT(E324,3)="USD",IF(O324=0,"",(O324-K324)*Z324*AA324*H324/O324),AD324*10*H324)))</f>
        <v/>
      </c>
      <c r="AJ324" s="28">
        <f>IF(O324="","",IF(S324="",IF(AI324="",0,AI324),S324)-IF(R324="",0,R324))</f>
        <v/>
      </c>
      <c r="AK324" s="18">
        <f>IF(C324="","",IF(OR(O324="",P324=""),"Open",IF(ABS(AJ324)&lt;=BEThreshold,"BE",IF(AJ324&gt;0,"Win","Loss"))))</f>
        <v/>
      </c>
      <c r="AL324" s="28">
        <f>IF(OR(C324="",AK324="Open"),"",InitialCapital+SUMIFS($AJ$2:AJ324,$AK$2:AK324,"&lt;&gt;Open"))</f>
        <v/>
      </c>
      <c r="AM324" s="18">
        <f>IF(OR(C324="",AK324=""),"",IF(AK324="Open","No","Yes"))</f>
        <v/>
      </c>
    </row>
    <row r="325" ht="18" customHeight="1">
      <c r="A325" s="18">
        <f>IF(C325="","",COUNTA($C$2:C325))</f>
        <v/>
      </c>
      <c r="B325" s="18">
        <f>IF(C325="","",TEXT(C325,"dddd"))</f>
        <v/>
      </c>
      <c r="C325" s="19" t="n"/>
      <c r="D325" s="20" t="n"/>
      <c r="E325" s="21" t="n"/>
      <c r="F325" s="21" t="n"/>
      <c r="G325" s="21" t="n"/>
      <c r="H325" s="22" t="n"/>
      <c r="I325" s="23" t="n"/>
      <c r="J325" s="22" t="n"/>
      <c r="K325" s="24" t="n"/>
      <c r="L325" s="24" t="n"/>
      <c r="M325" s="24" t="n"/>
      <c r="N325" s="21" t="n"/>
      <c r="O325" s="24" t="n"/>
      <c r="P325" s="19" t="n"/>
      <c r="Q325" s="20" t="n"/>
      <c r="R325" s="23" t="n"/>
      <c r="S325" s="23" t="n"/>
      <c r="T325" s="21" t="n"/>
      <c r="U325" s="21" t="n"/>
      <c r="V325" s="21" t="n"/>
      <c r="W325" s="21" t="n"/>
      <c r="X325" s="21" t="n"/>
      <c r="Y325" s="25">
        <f>IF($C325="","",IF(E325="XAUUSD",0.1,IF(ISNUMBER(SEARCH("JPY",E325)),0.01,0.0001)))</f>
        <v/>
      </c>
      <c r="Z325" s="18">
        <f>IF($C325="","",IF(F325="Sell",-1,1))</f>
        <v/>
      </c>
      <c r="AA325" s="18">
        <f>IF($C325="","",IF(E325="XAUUSD",100,100000))</f>
        <v/>
      </c>
      <c r="AB325" s="26">
        <f>IF(OR(K325="",L325=""),"",ABS(K325-L325)/Y325)</f>
        <v/>
      </c>
      <c r="AC325" s="26">
        <f>IF(OR(K325="",M325=""),"",ABS(M325-K325)/Y325)</f>
        <v/>
      </c>
      <c r="AD325" s="26">
        <f>IF(OR(K325="",O325=""),"",(O325-K325)*Z325/Y325)</f>
        <v/>
      </c>
      <c r="AE325" s="27">
        <f>IF(OR(AB325="",AB325=0,AC325=""),"",AC325/AB325)</f>
        <v/>
      </c>
      <c r="AF325" s="27">
        <f>IF(OR(AB325="",AB325=0,AD325=""),"",AD325/AB325)</f>
        <v/>
      </c>
      <c r="AG325" s="27">
        <f>IF(OR(C325="",P325=""),"",((P325+IF(Q325="",0,Q325))-(C325+IF(D325="",0,D325)))*24)</f>
        <v/>
      </c>
      <c r="AH325" s="18">
        <f>IF(AG325="","",INT(AG325/24)&amp;"d "&amp;INT(MOD(AG325,24))&amp;"h "&amp;INT(MOD(AG325*60,60))&amp;"m")</f>
        <v/>
      </c>
      <c r="AI325" s="28">
        <f>IF(OR(O325="",K325="",H325=""),"",IF(OR(E325="XAUUSD",RIGHT(E325,3)="USD"),(O325-K325)*Z325*AA325*H325,IF(LEFT(E325,3)="USD",IF(O325=0,"",(O325-K325)*Z325*AA325*H325/O325),AD325*10*H325)))</f>
        <v/>
      </c>
      <c r="AJ325" s="28">
        <f>IF(O325="","",IF(S325="",IF(AI325="",0,AI325),S325)-IF(R325="",0,R325))</f>
        <v/>
      </c>
      <c r="AK325" s="18">
        <f>IF(C325="","",IF(OR(O325="",P325=""),"Open",IF(ABS(AJ325)&lt;=BEThreshold,"BE",IF(AJ325&gt;0,"Win","Loss"))))</f>
        <v/>
      </c>
      <c r="AL325" s="28">
        <f>IF(OR(C325="",AK325="Open"),"",InitialCapital+SUMIFS($AJ$2:AJ325,$AK$2:AK325,"&lt;&gt;Open"))</f>
        <v/>
      </c>
      <c r="AM325" s="18">
        <f>IF(OR(C325="",AK325=""),"",IF(AK325="Open","No","Yes"))</f>
        <v/>
      </c>
    </row>
    <row r="326" ht="18" customHeight="1">
      <c r="A326" s="18">
        <f>IF(C326="","",COUNTA($C$2:C326))</f>
        <v/>
      </c>
      <c r="B326" s="18">
        <f>IF(C326="","",TEXT(C326,"dddd"))</f>
        <v/>
      </c>
      <c r="C326" s="19" t="n"/>
      <c r="D326" s="20" t="n"/>
      <c r="E326" s="21" t="n"/>
      <c r="F326" s="21" t="n"/>
      <c r="G326" s="21" t="n"/>
      <c r="H326" s="22" t="n"/>
      <c r="I326" s="23" t="n"/>
      <c r="J326" s="22" t="n"/>
      <c r="K326" s="24" t="n"/>
      <c r="L326" s="24" t="n"/>
      <c r="M326" s="24" t="n"/>
      <c r="N326" s="21" t="n"/>
      <c r="O326" s="24" t="n"/>
      <c r="P326" s="19" t="n"/>
      <c r="Q326" s="20" t="n"/>
      <c r="R326" s="23" t="n"/>
      <c r="S326" s="23" t="n"/>
      <c r="T326" s="21" t="n"/>
      <c r="U326" s="21" t="n"/>
      <c r="V326" s="21" t="n"/>
      <c r="W326" s="21" t="n"/>
      <c r="X326" s="21" t="n"/>
      <c r="Y326" s="25">
        <f>IF($C326="","",IF(E326="XAUUSD",0.1,IF(ISNUMBER(SEARCH("JPY",E326)),0.01,0.0001)))</f>
        <v/>
      </c>
      <c r="Z326" s="18">
        <f>IF($C326="","",IF(F326="Sell",-1,1))</f>
        <v/>
      </c>
      <c r="AA326" s="18">
        <f>IF($C326="","",IF(E326="XAUUSD",100,100000))</f>
        <v/>
      </c>
      <c r="AB326" s="26">
        <f>IF(OR(K326="",L326=""),"",ABS(K326-L326)/Y326)</f>
        <v/>
      </c>
      <c r="AC326" s="26">
        <f>IF(OR(K326="",M326=""),"",ABS(M326-K326)/Y326)</f>
        <v/>
      </c>
      <c r="AD326" s="26">
        <f>IF(OR(K326="",O326=""),"",(O326-K326)*Z326/Y326)</f>
        <v/>
      </c>
      <c r="AE326" s="27">
        <f>IF(OR(AB326="",AB326=0,AC326=""),"",AC326/AB326)</f>
        <v/>
      </c>
      <c r="AF326" s="27">
        <f>IF(OR(AB326="",AB326=0,AD326=""),"",AD326/AB326)</f>
        <v/>
      </c>
      <c r="AG326" s="27">
        <f>IF(OR(C326="",P326=""),"",((P326+IF(Q326="",0,Q326))-(C326+IF(D326="",0,D326)))*24)</f>
        <v/>
      </c>
      <c r="AH326" s="18">
        <f>IF(AG326="","",INT(AG326/24)&amp;"d "&amp;INT(MOD(AG326,24))&amp;"h "&amp;INT(MOD(AG326*60,60))&amp;"m")</f>
        <v/>
      </c>
      <c r="AI326" s="28">
        <f>IF(OR(O326="",K326="",H326=""),"",IF(OR(E326="XAUUSD",RIGHT(E326,3)="USD"),(O326-K326)*Z326*AA326*H326,IF(LEFT(E326,3)="USD",IF(O326=0,"",(O326-K326)*Z326*AA326*H326/O326),AD326*10*H326)))</f>
        <v/>
      </c>
      <c r="AJ326" s="28">
        <f>IF(O326="","",IF(S326="",IF(AI326="",0,AI326),S326)-IF(R326="",0,R326))</f>
        <v/>
      </c>
      <c r="AK326" s="18">
        <f>IF(C326="","",IF(OR(O326="",P326=""),"Open",IF(ABS(AJ326)&lt;=BEThreshold,"BE",IF(AJ326&gt;0,"Win","Loss"))))</f>
        <v/>
      </c>
      <c r="AL326" s="28">
        <f>IF(OR(C326="",AK326="Open"),"",InitialCapital+SUMIFS($AJ$2:AJ326,$AK$2:AK326,"&lt;&gt;Open"))</f>
        <v/>
      </c>
      <c r="AM326" s="18">
        <f>IF(OR(C326="",AK326=""),"",IF(AK326="Open","No","Yes"))</f>
        <v/>
      </c>
    </row>
    <row r="327" ht="18" customHeight="1">
      <c r="A327" s="18">
        <f>IF(C327="","",COUNTA($C$2:C327))</f>
        <v/>
      </c>
      <c r="B327" s="18">
        <f>IF(C327="","",TEXT(C327,"dddd"))</f>
        <v/>
      </c>
      <c r="C327" s="19" t="n"/>
      <c r="D327" s="20" t="n"/>
      <c r="E327" s="21" t="n"/>
      <c r="F327" s="21" t="n"/>
      <c r="G327" s="21" t="n"/>
      <c r="H327" s="22" t="n"/>
      <c r="I327" s="23" t="n"/>
      <c r="J327" s="22" t="n"/>
      <c r="K327" s="24" t="n"/>
      <c r="L327" s="24" t="n"/>
      <c r="M327" s="24" t="n"/>
      <c r="N327" s="21" t="n"/>
      <c r="O327" s="24" t="n"/>
      <c r="P327" s="19" t="n"/>
      <c r="Q327" s="20" t="n"/>
      <c r="R327" s="23" t="n"/>
      <c r="S327" s="23" t="n"/>
      <c r="T327" s="21" t="n"/>
      <c r="U327" s="21" t="n"/>
      <c r="V327" s="21" t="n"/>
      <c r="W327" s="21" t="n"/>
      <c r="X327" s="21" t="n"/>
      <c r="Y327" s="25">
        <f>IF($C327="","",IF(E327="XAUUSD",0.1,IF(ISNUMBER(SEARCH("JPY",E327)),0.01,0.0001)))</f>
        <v/>
      </c>
      <c r="Z327" s="18">
        <f>IF($C327="","",IF(F327="Sell",-1,1))</f>
        <v/>
      </c>
      <c r="AA327" s="18">
        <f>IF($C327="","",IF(E327="XAUUSD",100,100000))</f>
        <v/>
      </c>
      <c r="AB327" s="26">
        <f>IF(OR(K327="",L327=""),"",ABS(K327-L327)/Y327)</f>
        <v/>
      </c>
      <c r="AC327" s="26">
        <f>IF(OR(K327="",M327=""),"",ABS(M327-K327)/Y327)</f>
        <v/>
      </c>
      <c r="AD327" s="26">
        <f>IF(OR(K327="",O327=""),"",(O327-K327)*Z327/Y327)</f>
        <v/>
      </c>
      <c r="AE327" s="27">
        <f>IF(OR(AB327="",AB327=0,AC327=""),"",AC327/AB327)</f>
        <v/>
      </c>
      <c r="AF327" s="27">
        <f>IF(OR(AB327="",AB327=0,AD327=""),"",AD327/AB327)</f>
        <v/>
      </c>
      <c r="AG327" s="27">
        <f>IF(OR(C327="",P327=""),"",((P327+IF(Q327="",0,Q327))-(C327+IF(D327="",0,D327)))*24)</f>
        <v/>
      </c>
      <c r="AH327" s="18">
        <f>IF(AG327="","",INT(AG327/24)&amp;"d "&amp;INT(MOD(AG327,24))&amp;"h "&amp;INT(MOD(AG327*60,60))&amp;"m")</f>
        <v/>
      </c>
      <c r="AI327" s="28">
        <f>IF(OR(O327="",K327="",H327=""),"",IF(OR(E327="XAUUSD",RIGHT(E327,3)="USD"),(O327-K327)*Z327*AA327*H327,IF(LEFT(E327,3)="USD",IF(O327=0,"",(O327-K327)*Z327*AA327*H327/O327),AD327*10*H327)))</f>
        <v/>
      </c>
      <c r="AJ327" s="28">
        <f>IF(O327="","",IF(S327="",IF(AI327="",0,AI327),S327)-IF(R327="",0,R327))</f>
        <v/>
      </c>
      <c r="AK327" s="18">
        <f>IF(C327="","",IF(OR(O327="",P327=""),"Open",IF(ABS(AJ327)&lt;=BEThreshold,"BE",IF(AJ327&gt;0,"Win","Loss"))))</f>
        <v/>
      </c>
      <c r="AL327" s="28">
        <f>IF(OR(C327="",AK327="Open"),"",InitialCapital+SUMIFS($AJ$2:AJ327,$AK$2:AK327,"&lt;&gt;Open"))</f>
        <v/>
      </c>
      <c r="AM327" s="18">
        <f>IF(OR(C327="",AK327=""),"",IF(AK327="Open","No","Yes"))</f>
        <v/>
      </c>
    </row>
    <row r="328" ht="18" customHeight="1">
      <c r="A328" s="18">
        <f>IF(C328="","",COUNTA($C$2:C328))</f>
        <v/>
      </c>
      <c r="B328" s="18">
        <f>IF(C328="","",TEXT(C328,"dddd"))</f>
        <v/>
      </c>
      <c r="C328" s="19" t="n"/>
      <c r="D328" s="20" t="n"/>
      <c r="E328" s="21" t="n"/>
      <c r="F328" s="21" t="n"/>
      <c r="G328" s="21" t="n"/>
      <c r="H328" s="22" t="n"/>
      <c r="I328" s="23" t="n"/>
      <c r="J328" s="22" t="n"/>
      <c r="K328" s="24" t="n"/>
      <c r="L328" s="24" t="n"/>
      <c r="M328" s="24" t="n"/>
      <c r="N328" s="21" t="n"/>
      <c r="O328" s="24" t="n"/>
      <c r="P328" s="19" t="n"/>
      <c r="Q328" s="20" t="n"/>
      <c r="R328" s="23" t="n"/>
      <c r="S328" s="23" t="n"/>
      <c r="T328" s="21" t="n"/>
      <c r="U328" s="21" t="n"/>
      <c r="V328" s="21" t="n"/>
      <c r="W328" s="21" t="n"/>
      <c r="X328" s="21" t="n"/>
      <c r="Y328" s="25">
        <f>IF($C328="","",IF(E328="XAUUSD",0.1,IF(ISNUMBER(SEARCH("JPY",E328)),0.01,0.0001)))</f>
        <v/>
      </c>
      <c r="Z328" s="18">
        <f>IF($C328="","",IF(F328="Sell",-1,1))</f>
        <v/>
      </c>
      <c r="AA328" s="18">
        <f>IF($C328="","",IF(E328="XAUUSD",100,100000))</f>
        <v/>
      </c>
      <c r="AB328" s="26">
        <f>IF(OR(K328="",L328=""),"",ABS(K328-L328)/Y328)</f>
        <v/>
      </c>
      <c r="AC328" s="26">
        <f>IF(OR(K328="",M328=""),"",ABS(M328-K328)/Y328)</f>
        <v/>
      </c>
      <c r="AD328" s="26">
        <f>IF(OR(K328="",O328=""),"",(O328-K328)*Z328/Y328)</f>
        <v/>
      </c>
      <c r="AE328" s="27">
        <f>IF(OR(AB328="",AB328=0,AC328=""),"",AC328/AB328)</f>
        <v/>
      </c>
      <c r="AF328" s="27">
        <f>IF(OR(AB328="",AB328=0,AD328=""),"",AD328/AB328)</f>
        <v/>
      </c>
      <c r="AG328" s="27">
        <f>IF(OR(C328="",P328=""),"",((P328+IF(Q328="",0,Q328))-(C328+IF(D328="",0,D328)))*24)</f>
        <v/>
      </c>
      <c r="AH328" s="18">
        <f>IF(AG328="","",INT(AG328/24)&amp;"d "&amp;INT(MOD(AG328,24))&amp;"h "&amp;INT(MOD(AG328*60,60))&amp;"m")</f>
        <v/>
      </c>
      <c r="AI328" s="28">
        <f>IF(OR(O328="",K328="",H328=""),"",IF(OR(E328="XAUUSD",RIGHT(E328,3)="USD"),(O328-K328)*Z328*AA328*H328,IF(LEFT(E328,3)="USD",IF(O328=0,"",(O328-K328)*Z328*AA328*H328/O328),AD328*10*H328)))</f>
        <v/>
      </c>
      <c r="AJ328" s="28">
        <f>IF(O328="","",IF(S328="",IF(AI328="",0,AI328),S328)-IF(R328="",0,R328))</f>
        <v/>
      </c>
      <c r="AK328" s="18">
        <f>IF(C328="","",IF(OR(O328="",P328=""),"Open",IF(ABS(AJ328)&lt;=BEThreshold,"BE",IF(AJ328&gt;0,"Win","Loss"))))</f>
        <v/>
      </c>
      <c r="AL328" s="28">
        <f>IF(OR(C328="",AK328="Open"),"",InitialCapital+SUMIFS($AJ$2:AJ328,$AK$2:AK328,"&lt;&gt;Open"))</f>
        <v/>
      </c>
      <c r="AM328" s="18">
        <f>IF(OR(C328="",AK328=""),"",IF(AK328="Open","No","Yes"))</f>
        <v/>
      </c>
    </row>
    <row r="329" ht="18" customHeight="1">
      <c r="A329" s="18">
        <f>IF(C329="","",COUNTA($C$2:C329))</f>
        <v/>
      </c>
      <c r="B329" s="18">
        <f>IF(C329="","",TEXT(C329,"dddd"))</f>
        <v/>
      </c>
      <c r="C329" s="19" t="n"/>
      <c r="D329" s="20" t="n"/>
      <c r="E329" s="21" t="n"/>
      <c r="F329" s="21" t="n"/>
      <c r="G329" s="21" t="n"/>
      <c r="H329" s="22" t="n"/>
      <c r="I329" s="23" t="n"/>
      <c r="J329" s="22" t="n"/>
      <c r="K329" s="24" t="n"/>
      <c r="L329" s="24" t="n"/>
      <c r="M329" s="24" t="n"/>
      <c r="N329" s="21" t="n"/>
      <c r="O329" s="24" t="n"/>
      <c r="P329" s="19" t="n"/>
      <c r="Q329" s="20" t="n"/>
      <c r="R329" s="23" t="n"/>
      <c r="S329" s="23" t="n"/>
      <c r="T329" s="21" t="n"/>
      <c r="U329" s="21" t="n"/>
      <c r="V329" s="21" t="n"/>
      <c r="W329" s="21" t="n"/>
      <c r="X329" s="21" t="n"/>
      <c r="Y329" s="25">
        <f>IF($C329="","",IF(E329="XAUUSD",0.1,IF(ISNUMBER(SEARCH("JPY",E329)),0.01,0.0001)))</f>
        <v/>
      </c>
      <c r="Z329" s="18">
        <f>IF($C329="","",IF(F329="Sell",-1,1))</f>
        <v/>
      </c>
      <c r="AA329" s="18">
        <f>IF($C329="","",IF(E329="XAUUSD",100,100000))</f>
        <v/>
      </c>
      <c r="AB329" s="26">
        <f>IF(OR(K329="",L329=""),"",ABS(K329-L329)/Y329)</f>
        <v/>
      </c>
      <c r="AC329" s="26">
        <f>IF(OR(K329="",M329=""),"",ABS(M329-K329)/Y329)</f>
        <v/>
      </c>
      <c r="AD329" s="26">
        <f>IF(OR(K329="",O329=""),"",(O329-K329)*Z329/Y329)</f>
        <v/>
      </c>
      <c r="AE329" s="27">
        <f>IF(OR(AB329="",AB329=0,AC329=""),"",AC329/AB329)</f>
        <v/>
      </c>
      <c r="AF329" s="27">
        <f>IF(OR(AB329="",AB329=0,AD329=""),"",AD329/AB329)</f>
        <v/>
      </c>
      <c r="AG329" s="27">
        <f>IF(OR(C329="",P329=""),"",((P329+IF(Q329="",0,Q329))-(C329+IF(D329="",0,D329)))*24)</f>
        <v/>
      </c>
      <c r="AH329" s="18">
        <f>IF(AG329="","",INT(AG329/24)&amp;"d "&amp;INT(MOD(AG329,24))&amp;"h "&amp;INT(MOD(AG329*60,60))&amp;"m")</f>
        <v/>
      </c>
      <c r="AI329" s="28">
        <f>IF(OR(O329="",K329="",H329=""),"",IF(OR(E329="XAUUSD",RIGHT(E329,3)="USD"),(O329-K329)*Z329*AA329*H329,IF(LEFT(E329,3)="USD",IF(O329=0,"",(O329-K329)*Z329*AA329*H329/O329),AD329*10*H329)))</f>
        <v/>
      </c>
      <c r="AJ329" s="28">
        <f>IF(O329="","",IF(S329="",IF(AI329="",0,AI329),S329)-IF(R329="",0,R329))</f>
        <v/>
      </c>
      <c r="AK329" s="18">
        <f>IF(C329="","",IF(OR(O329="",P329=""),"Open",IF(ABS(AJ329)&lt;=BEThreshold,"BE",IF(AJ329&gt;0,"Win","Loss"))))</f>
        <v/>
      </c>
      <c r="AL329" s="28">
        <f>IF(OR(C329="",AK329="Open"),"",InitialCapital+SUMIFS($AJ$2:AJ329,$AK$2:AK329,"&lt;&gt;Open"))</f>
        <v/>
      </c>
      <c r="AM329" s="18">
        <f>IF(OR(C329="",AK329=""),"",IF(AK329="Open","No","Yes"))</f>
        <v/>
      </c>
    </row>
    <row r="330" ht="18" customHeight="1">
      <c r="A330" s="18">
        <f>IF(C330="","",COUNTA($C$2:C330))</f>
        <v/>
      </c>
      <c r="B330" s="18">
        <f>IF(C330="","",TEXT(C330,"dddd"))</f>
        <v/>
      </c>
      <c r="C330" s="19" t="n"/>
      <c r="D330" s="20" t="n"/>
      <c r="E330" s="21" t="n"/>
      <c r="F330" s="21" t="n"/>
      <c r="G330" s="21" t="n"/>
      <c r="H330" s="22" t="n"/>
      <c r="I330" s="23" t="n"/>
      <c r="J330" s="22" t="n"/>
      <c r="K330" s="24" t="n"/>
      <c r="L330" s="24" t="n"/>
      <c r="M330" s="24" t="n"/>
      <c r="N330" s="21" t="n"/>
      <c r="O330" s="24" t="n"/>
      <c r="P330" s="19" t="n"/>
      <c r="Q330" s="20" t="n"/>
      <c r="R330" s="23" t="n"/>
      <c r="S330" s="23" t="n"/>
      <c r="T330" s="21" t="n"/>
      <c r="U330" s="21" t="n"/>
      <c r="V330" s="21" t="n"/>
      <c r="W330" s="21" t="n"/>
      <c r="X330" s="21" t="n"/>
      <c r="Y330" s="25">
        <f>IF($C330="","",IF(E330="XAUUSD",0.1,IF(ISNUMBER(SEARCH("JPY",E330)),0.01,0.0001)))</f>
        <v/>
      </c>
      <c r="Z330" s="18">
        <f>IF($C330="","",IF(F330="Sell",-1,1))</f>
        <v/>
      </c>
      <c r="AA330" s="18">
        <f>IF($C330="","",IF(E330="XAUUSD",100,100000))</f>
        <v/>
      </c>
      <c r="AB330" s="26">
        <f>IF(OR(K330="",L330=""),"",ABS(K330-L330)/Y330)</f>
        <v/>
      </c>
      <c r="AC330" s="26">
        <f>IF(OR(K330="",M330=""),"",ABS(M330-K330)/Y330)</f>
        <v/>
      </c>
      <c r="AD330" s="26">
        <f>IF(OR(K330="",O330=""),"",(O330-K330)*Z330/Y330)</f>
        <v/>
      </c>
      <c r="AE330" s="27">
        <f>IF(OR(AB330="",AB330=0,AC330=""),"",AC330/AB330)</f>
        <v/>
      </c>
      <c r="AF330" s="27">
        <f>IF(OR(AB330="",AB330=0,AD330=""),"",AD330/AB330)</f>
        <v/>
      </c>
      <c r="AG330" s="27">
        <f>IF(OR(C330="",P330=""),"",((P330+IF(Q330="",0,Q330))-(C330+IF(D330="",0,D330)))*24)</f>
        <v/>
      </c>
      <c r="AH330" s="18">
        <f>IF(AG330="","",INT(AG330/24)&amp;"d "&amp;INT(MOD(AG330,24))&amp;"h "&amp;INT(MOD(AG330*60,60))&amp;"m")</f>
        <v/>
      </c>
      <c r="AI330" s="28">
        <f>IF(OR(O330="",K330="",H330=""),"",IF(OR(E330="XAUUSD",RIGHT(E330,3)="USD"),(O330-K330)*Z330*AA330*H330,IF(LEFT(E330,3)="USD",IF(O330=0,"",(O330-K330)*Z330*AA330*H330/O330),AD330*10*H330)))</f>
        <v/>
      </c>
      <c r="AJ330" s="28">
        <f>IF(O330="","",IF(S330="",IF(AI330="",0,AI330),S330)-IF(R330="",0,R330))</f>
        <v/>
      </c>
      <c r="AK330" s="18">
        <f>IF(C330="","",IF(OR(O330="",P330=""),"Open",IF(ABS(AJ330)&lt;=BEThreshold,"BE",IF(AJ330&gt;0,"Win","Loss"))))</f>
        <v/>
      </c>
      <c r="AL330" s="28">
        <f>IF(OR(C330="",AK330="Open"),"",InitialCapital+SUMIFS($AJ$2:AJ330,$AK$2:AK330,"&lt;&gt;Open"))</f>
        <v/>
      </c>
      <c r="AM330" s="18">
        <f>IF(OR(C330="",AK330=""),"",IF(AK330="Open","No","Yes"))</f>
        <v/>
      </c>
    </row>
    <row r="331" ht="18" customHeight="1">
      <c r="A331" s="18">
        <f>IF(C331="","",COUNTA($C$2:C331))</f>
        <v/>
      </c>
      <c r="B331" s="18">
        <f>IF(C331="","",TEXT(C331,"dddd"))</f>
        <v/>
      </c>
      <c r="C331" s="19" t="n"/>
      <c r="D331" s="20" t="n"/>
      <c r="E331" s="21" t="n"/>
      <c r="F331" s="21" t="n"/>
      <c r="G331" s="21" t="n"/>
      <c r="H331" s="22" t="n"/>
      <c r="I331" s="23" t="n"/>
      <c r="J331" s="22" t="n"/>
      <c r="K331" s="24" t="n"/>
      <c r="L331" s="24" t="n"/>
      <c r="M331" s="24" t="n"/>
      <c r="N331" s="21" t="n"/>
      <c r="O331" s="24" t="n"/>
      <c r="P331" s="19" t="n"/>
      <c r="Q331" s="20" t="n"/>
      <c r="R331" s="23" t="n"/>
      <c r="S331" s="23" t="n"/>
      <c r="T331" s="21" t="n"/>
      <c r="U331" s="21" t="n"/>
      <c r="V331" s="21" t="n"/>
      <c r="W331" s="21" t="n"/>
      <c r="X331" s="21" t="n"/>
      <c r="Y331" s="25">
        <f>IF($C331="","",IF(E331="XAUUSD",0.1,IF(ISNUMBER(SEARCH("JPY",E331)),0.01,0.0001)))</f>
        <v/>
      </c>
      <c r="Z331" s="18">
        <f>IF($C331="","",IF(F331="Sell",-1,1))</f>
        <v/>
      </c>
      <c r="AA331" s="18">
        <f>IF($C331="","",IF(E331="XAUUSD",100,100000))</f>
        <v/>
      </c>
      <c r="AB331" s="26">
        <f>IF(OR(K331="",L331=""),"",ABS(K331-L331)/Y331)</f>
        <v/>
      </c>
      <c r="AC331" s="26">
        <f>IF(OR(K331="",M331=""),"",ABS(M331-K331)/Y331)</f>
        <v/>
      </c>
      <c r="AD331" s="26">
        <f>IF(OR(K331="",O331=""),"",(O331-K331)*Z331/Y331)</f>
        <v/>
      </c>
      <c r="AE331" s="27">
        <f>IF(OR(AB331="",AB331=0,AC331=""),"",AC331/AB331)</f>
        <v/>
      </c>
      <c r="AF331" s="27">
        <f>IF(OR(AB331="",AB331=0,AD331=""),"",AD331/AB331)</f>
        <v/>
      </c>
      <c r="AG331" s="27">
        <f>IF(OR(C331="",P331=""),"",((P331+IF(Q331="",0,Q331))-(C331+IF(D331="",0,D331)))*24)</f>
        <v/>
      </c>
      <c r="AH331" s="18">
        <f>IF(AG331="","",INT(AG331/24)&amp;"d "&amp;INT(MOD(AG331,24))&amp;"h "&amp;INT(MOD(AG331*60,60))&amp;"m")</f>
        <v/>
      </c>
      <c r="AI331" s="28">
        <f>IF(OR(O331="",K331="",H331=""),"",IF(OR(E331="XAUUSD",RIGHT(E331,3)="USD"),(O331-K331)*Z331*AA331*H331,IF(LEFT(E331,3)="USD",IF(O331=0,"",(O331-K331)*Z331*AA331*H331/O331),AD331*10*H331)))</f>
        <v/>
      </c>
      <c r="AJ331" s="28">
        <f>IF(O331="","",IF(S331="",IF(AI331="",0,AI331),S331)-IF(R331="",0,R331))</f>
        <v/>
      </c>
      <c r="AK331" s="18">
        <f>IF(C331="","",IF(OR(O331="",P331=""),"Open",IF(ABS(AJ331)&lt;=BEThreshold,"BE",IF(AJ331&gt;0,"Win","Loss"))))</f>
        <v/>
      </c>
      <c r="AL331" s="28">
        <f>IF(OR(C331="",AK331="Open"),"",InitialCapital+SUMIFS($AJ$2:AJ331,$AK$2:AK331,"&lt;&gt;Open"))</f>
        <v/>
      </c>
      <c r="AM331" s="18">
        <f>IF(OR(C331="",AK331=""),"",IF(AK331="Open","No","Yes"))</f>
        <v/>
      </c>
    </row>
    <row r="332" ht="18" customHeight="1">
      <c r="A332" s="18">
        <f>IF(C332="","",COUNTA($C$2:C332))</f>
        <v/>
      </c>
      <c r="B332" s="18">
        <f>IF(C332="","",TEXT(C332,"dddd"))</f>
        <v/>
      </c>
      <c r="C332" s="19" t="n"/>
      <c r="D332" s="20" t="n"/>
      <c r="E332" s="21" t="n"/>
      <c r="F332" s="21" t="n"/>
      <c r="G332" s="21" t="n"/>
      <c r="H332" s="22" t="n"/>
      <c r="I332" s="23" t="n"/>
      <c r="J332" s="22" t="n"/>
      <c r="K332" s="24" t="n"/>
      <c r="L332" s="24" t="n"/>
      <c r="M332" s="24" t="n"/>
      <c r="N332" s="21" t="n"/>
      <c r="O332" s="24" t="n"/>
      <c r="P332" s="19" t="n"/>
      <c r="Q332" s="20" t="n"/>
      <c r="R332" s="23" t="n"/>
      <c r="S332" s="23" t="n"/>
      <c r="T332" s="21" t="n"/>
      <c r="U332" s="21" t="n"/>
      <c r="V332" s="21" t="n"/>
      <c r="W332" s="21" t="n"/>
      <c r="X332" s="21" t="n"/>
      <c r="Y332" s="25">
        <f>IF($C332="","",IF(E332="XAUUSD",0.1,IF(ISNUMBER(SEARCH("JPY",E332)),0.01,0.0001)))</f>
        <v/>
      </c>
      <c r="Z332" s="18">
        <f>IF($C332="","",IF(F332="Sell",-1,1))</f>
        <v/>
      </c>
      <c r="AA332" s="18">
        <f>IF($C332="","",IF(E332="XAUUSD",100,100000))</f>
        <v/>
      </c>
      <c r="AB332" s="26">
        <f>IF(OR(K332="",L332=""),"",ABS(K332-L332)/Y332)</f>
        <v/>
      </c>
      <c r="AC332" s="26">
        <f>IF(OR(K332="",M332=""),"",ABS(M332-K332)/Y332)</f>
        <v/>
      </c>
      <c r="AD332" s="26">
        <f>IF(OR(K332="",O332=""),"",(O332-K332)*Z332/Y332)</f>
        <v/>
      </c>
      <c r="AE332" s="27">
        <f>IF(OR(AB332="",AB332=0,AC332=""),"",AC332/AB332)</f>
        <v/>
      </c>
      <c r="AF332" s="27">
        <f>IF(OR(AB332="",AB332=0,AD332=""),"",AD332/AB332)</f>
        <v/>
      </c>
      <c r="AG332" s="27">
        <f>IF(OR(C332="",P332=""),"",((P332+IF(Q332="",0,Q332))-(C332+IF(D332="",0,D332)))*24)</f>
        <v/>
      </c>
      <c r="AH332" s="18">
        <f>IF(AG332="","",INT(AG332/24)&amp;"d "&amp;INT(MOD(AG332,24))&amp;"h "&amp;INT(MOD(AG332*60,60))&amp;"m")</f>
        <v/>
      </c>
      <c r="AI332" s="28">
        <f>IF(OR(O332="",K332="",H332=""),"",IF(OR(E332="XAUUSD",RIGHT(E332,3)="USD"),(O332-K332)*Z332*AA332*H332,IF(LEFT(E332,3)="USD",IF(O332=0,"",(O332-K332)*Z332*AA332*H332/O332),AD332*10*H332)))</f>
        <v/>
      </c>
      <c r="AJ332" s="28">
        <f>IF(O332="","",IF(S332="",IF(AI332="",0,AI332),S332)-IF(R332="",0,R332))</f>
        <v/>
      </c>
      <c r="AK332" s="18">
        <f>IF(C332="","",IF(OR(O332="",P332=""),"Open",IF(ABS(AJ332)&lt;=BEThreshold,"BE",IF(AJ332&gt;0,"Win","Loss"))))</f>
        <v/>
      </c>
      <c r="AL332" s="28">
        <f>IF(OR(C332="",AK332="Open"),"",InitialCapital+SUMIFS($AJ$2:AJ332,$AK$2:AK332,"&lt;&gt;Open"))</f>
        <v/>
      </c>
      <c r="AM332" s="18">
        <f>IF(OR(C332="",AK332=""),"",IF(AK332="Open","No","Yes"))</f>
        <v/>
      </c>
    </row>
    <row r="333" ht="18" customHeight="1">
      <c r="A333" s="18">
        <f>IF(C333="","",COUNTA($C$2:C333))</f>
        <v/>
      </c>
      <c r="B333" s="18">
        <f>IF(C333="","",TEXT(C333,"dddd"))</f>
        <v/>
      </c>
      <c r="C333" s="19" t="n"/>
      <c r="D333" s="20" t="n"/>
      <c r="E333" s="21" t="n"/>
      <c r="F333" s="21" t="n"/>
      <c r="G333" s="21" t="n"/>
      <c r="H333" s="22" t="n"/>
      <c r="I333" s="23" t="n"/>
      <c r="J333" s="22" t="n"/>
      <c r="K333" s="24" t="n"/>
      <c r="L333" s="24" t="n"/>
      <c r="M333" s="24" t="n"/>
      <c r="N333" s="21" t="n"/>
      <c r="O333" s="24" t="n"/>
      <c r="P333" s="19" t="n"/>
      <c r="Q333" s="20" t="n"/>
      <c r="R333" s="23" t="n"/>
      <c r="S333" s="23" t="n"/>
      <c r="T333" s="21" t="n"/>
      <c r="U333" s="21" t="n"/>
      <c r="V333" s="21" t="n"/>
      <c r="W333" s="21" t="n"/>
      <c r="X333" s="21" t="n"/>
      <c r="Y333" s="25">
        <f>IF($C333="","",IF(E333="XAUUSD",0.1,IF(ISNUMBER(SEARCH("JPY",E333)),0.01,0.0001)))</f>
        <v/>
      </c>
      <c r="Z333" s="18">
        <f>IF($C333="","",IF(F333="Sell",-1,1))</f>
        <v/>
      </c>
      <c r="AA333" s="18">
        <f>IF($C333="","",IF(E333="XAUUSD",100,100000))</f>
        <v/>
      </c>
      <c r="AB333" s="26">
        <f>IF(OR(K333="",L333=""),"",ABS(K333-L333)/Y333)</f>
        <v/>
      </c>
      <c r="AC333" s="26">
        <f>IF(OR(K333="",M333=""),"",ABS(M333-K333)/Y333)</f>
        <v/>
      </c>
      <c r="AD333" s="26">
        <f>IF(OR(K333="",O333=""),"",(O333-K333)*Z333/Y333)</f>
        <v/>
      </c>
      <c r="AE333" s="27">
        <f>IF(OR(AB333="",AB333=0,AC333=""),"",AC333/AB333)</f>
        <v/>
      </c>
      <c r="AF333" s="27">
        <f>IF(OR(AB333="",AB333=0,AD333=""),"",AD333/AB333)</f>
        <v/>
      </c>
      <c r="AG333" s="27">
        <f>IF(OR(C333="",P333=""),"",((P333+IF(Q333="",0,Q333))-(C333+IF(D333="",0,D333)))*24)</f>
        <v/>
      </c>
      <c r="AH333" s="18">
        <f>IF(AG333="","",INT(AG333/24)&amp;"d "&amp;INT(MOD(AG333,24))&amp;"h "&amp;INT(MOD(AG333*60,60))&amp;"m")</f>
        <v/>
      </c>
      <c r="AI333" s="28">
        <f>IF(OR(O333="",K333="",H333=""),"",IF(OR(E333="XAUUSD",RIGHT(E333,3)="USD"),(O333-K333)*Z333*AA333*H333,IF(LEFT(E333,3)="USD",IF(O333=0,"",(O333-K333)*Z333*AA333*H333/O333),AD333*10*H333)))</f>
        <v/>
      </c>
      <c r="AJ333" s="28">
        <f>IF(O333="","",IF(S333="",IF(AI333="",0,AI333),S333)-IF(R333="",0,R333))</f>
        <v/>
      </c>
      <c r="AK333" s="18">
        <f>IF(C333="","",IF(OR(O333="",P333=""),"Open",IF(ABS(AJ333)&lt;=BEThreshold,"BE",IF(AJ333&gt;0,"Win","Loss"))))</f>
        <v/>
      </c>
      <c r="AL333" s="28">
        <f>IF(OR(C333="",AK333="Open"),"",InitialCapital+SUMIFS($AJ$2:AJ333,$AK$2:AK333,"&lt;&gt;Open"))</f>
        <v/>
      </c>
      <c r="AM333" s="18">
        <f>IF(OR(C333="",AK333=""),"",IF(AK333="Open","No","Yes"))</f>
        <v/>
      </c>
    </row>
    <row r="334" ht="18" customHeight="1">
      <c r="A334" s="18">
        <f>IF(C334="","",COUNTA($C$2:C334))</f>
        <v/>
      </c>
      <c r="B334" s="18">
        <f>IF(C334="","",TEXT(C334,"dddd"))</f>
        <v/>
      </c>
      <c r="C334" s="19" t="n"/>
      <c r="D334" s="20" t="n"/>
      <c r="E334" s="21" t="n"/>
      <c r="F334" s="21" t="n"/>
      <c r="G334" s="21" t="n"/>
      <c r="H334" s="22" t="n"/>
      <c r="I334" s="23" t="n"/>
      <c r="J334" s="22" t="n"/>
      <c r="K334" s="24" t="n"/>
      <c r="L334" s="24" t="n"/>
      <c r="M334" s="24" t="n"/>
      <c r="N334" s="21" t="n"/>
      <c r="O334" s="24" t="n"/>
      <c r="P334" s="19" t="n"/>
      <c r="Q334" s="20" t="n"/>
      <c r="R334" s="23" t="n"/>
      <c r="S334" s="23" t="n"/>
      <c r="T334" s="21" t="n"/>
      <c r="U334" s="21" t="n"/>
      <c r="V334" s="21" t="n"/>
      <c r="W334" s="21" t="n"/>
      <c r="X334" s="21" t="n"/>
      <c r="Y334" s="25">
        <f>IF($C334="","",IF(E334="XAUUSD",0.1,IF(ISNUMBER(SEARCH("JPY",E334)),0.01,0.0001)))</f>
        <v/>
      </c>
      <c r="Z334" s="18">
        <f>IF($C334="","",IF(F334="Sell",-1,1))</f>
        <v/>
      </c>
      <c r="AA334" s="18">
        <f>IF($C334="","",IF(E334="XAUUSD",100,100000))</f>
        <v/>
      </c>
      <c r="AB334" s="26">
        <f>IF(OR(K334="",L334=""),"",ABS(K334-L334)/Y334)</f>
        <v/>
      </c>
      <c r="AC334" s="26">
        <f>IF(OR(K334="",M334=""),"",ABS(M334-K334)/Y334)</f>
        <v/>
      </c>
      <c r="AD334" s="26">
        <f>IF(OR(K334="",O334=""),"",(O334-K334)*Z334/Y334)</f>
        <v/>
      </c>
      <c r="AE334" s="27">
        <f>IF(OR(AB334="",AB334=0,AC334=""),"",AC334/AB334)</f>
        <v/>
      </c>
      <c r="AF334" s="27">
        <f>IF(OR(AB334="",AB334=0,AD334=""),"",AD334/AB334)</f>
        <v/>
      </c>
      <c r="AG334" s="27">
        <f>IF(OR(C334="",P334=""),"",((P334+IF(Q334="",0,Q334))-(C334+IF(D334="",0,D334)))*24)</f>
        <v/>
      </c>
      <c r="AH334" s="18">
        <f>IF(AG334="","",INT(AG334/24)&amp;"d "&amp;INT(MOD(AG334,24))&amp;"h "&amp;INT(MOD(AG334*60,60))&amp;"m")</f>
        <v/>
      </c>
      <c r="AI334" s="28">
        <f>IF(OR(O334="",K334="",H334=""),"",IF(OR(E334="XAUUSD",RIGHT(E334,3)="USD"),(O334-K334)*Z334*AA334*H334,IF(LEFT(E334,3)="USD",IF(O334=0,"",(O334-K334)*Z334*AA334*H334/O334),AD334*10*H334)))</f>
        <v/>
      </c>
      <c r="AJ334" s="28">
        <f>IF(O334="","",IF(S334="",IF(AI334="",0,AI334),S334)-IF(R334="",0,R334))</f>
        <v/>
      </c>
      <c r="AK334" s="18">
        <f>IF(C334="","",IF(OR(O334="",P334=""),"Open",IF(ABS(AJ334)&lt;=BEThreshold,"BE",IF(AJ334&gt;0,"Win","Loss"))))</f>
        <v/>
      </c>
      <c r="AL334" s="28">
        <f>IF(OR(C334="",AK334="Open"),"",InitialCapital+SUMIFS($AJ$2:AJ334,$AK$2:AK334,"&lt;&gt;Open"))</f>
        <v/>
      </c>
      <c r="AM334" s="18">
        <f>IF(OR(C334="",AK334=""),"",IF(AK334="Open","No","Yes"))</f>
        <v/>
      </c>
    </row>
    <row r="335" ht="18" customHeight="1">
      <c r="A335" s="18">
        <f>IF(C335="","",COUNTA($C$2:C335))</f>
        <v/>
      </c>
      <c r="B335" s="18">
        <f>IF(C335="","",TEXT(C335,"dddd"))</f>
        <v/>
      </c>
      <c r="C335" s="19" t="n"/>
      <c r="D335" s="20" t="n"/>
      <c r="E335" s="21" t="n"/>
      <c r="F335" s="21" t="n"/>
      <c r="G335" s="21" t="n"/>
      <c r="H335" s="22" t="n"/>
      <c r="I335" s="23" t="n"/>
      <c r="J335" s="22" t="n"/>
      <c r="K335" s="24" t="n"/>
      <c r="L335" s="24" t="n"/>
      <c r="M335" s="24" t="n"/>
      <c r="N335" s="21" t="n"/>
      <c r="O335" s="24" t="n"/>
      <c r="P335" s="19" t="n"/>
      <c r="Q335" s="20" t="n"/>
      <c r="R335" s="23" t="n"/>
      <c r="S335" s="23" t="n"/>
      <c r="T335" s="21" t="n"/>
      <c r="U335" s="21" t="n"/>
      <c r="V335" s="21" t="n"/>
      <c r="W335" s="21" t="n"/>
      <c r="X335" s="21" t="n"/>
      <c r="Y335" s="25">
        <f>IF($C335="","",IF(E335="XAUUSD",0.1,IF(ISNUMBER(SEARCH("JPY",E335)),0.01,0.0001)))</f>
        <v/>
      </c>
      <c r="Z335" s="18">
        <f>IF($C335="","",IF(F335="Sell",-1,1))</f>
        <v/>
      </c>
      <c r="AA335" s="18">
        <f>IF($C335="","",IF(E335="XAUUSD",100,100000))</f>
        <v/>
      </c>
      <c r="AB335" s="26">
        <f>IF(OR(K335="",L335=""),"",ABS(K335-L335)/Y335)</f>
        <v/>
      </c>
      <c r="AC335" s="26">
        <f>IF(OR(K335="",M335=""),"",ABS(M335-K335)/Y335)</f>
        <v/>
      </c>
      <c r="AD335" s="26">
        <f>IF(OR(K335="",O335=""),"",(O335-K335)*Z335/Y335)</f>
        <v/>
      </c>
      <c r="AE335" s="27">
        <f>IF(OR(AB335="",AB335=0,AC335=""),"",AC335/AB335)</f>
        <v/>
      </c>
      <c r="AF335" s="27">
        <f>IF(OR(AB335="",AB335=0,AD335=""),"",AD335/AB335)</f>
        <v/>
      </c>
      <c r="AG335" s="27">
        <f>IF(OR(C335="",P335=""),"",((P335+IF(Q335="",0,Q335))-(C335+IF(D335="",0,D335)))*24)</f>
        <v/>
      </c>
      <c r="AH335" s="18">
        <f>IF(AG335="","",INT(AG335/24)&amp;"d "&amp;INT(MOD(AG335,24))&amp;"h "&amp;INT(MOD(AG335*60,60))&amp;"m")</f>
        <v/>
      </c>
      <c r="AI335" s="28">
        <f>IF(OR(O335="",K335="",H335=""),"",IF(OR(E335="XAUUSD",RIGHT(E335,3)="USD"),(O335-K335)*Z335*AA335*H335,IF(LEFT(E335,3)="USD",IF(O335=0,"",(O335-K335)*Z335*AA335*H335/O335),AD335*10*H335)))</f>
        <v/>
      </c>
      <c r="AJ335" s="28">
        <f>IF(O335="","",IF(S335="",IF(AI335="",0,AI335),S335)-IF(R335="",0,R335))</f>
        <v/>
      </c>
      <c r="AK335" s="18">
        <f>IF(C335="","",IF(OR(O335="",P335=""),"Open",IF(ABS(AJ335)&lt;=BEThreshold,"BE",IF(AJ335&gt;0,"Win","Loss"))))</f>
        <v/>
      </c>
      <c r="AL335" s="28">
        <f>IF(OR(C335="",AK335="Open"),"",InitialCapital+SUMIFS($AJ$2:AJ335,$AK$2:AK335,"&lt;&gt;Open"))</f>
        <v/>
      </c>
      <c r="AM335" s="18">
        <f>IF(OR(C335="",AK335=""),"",IF(AK335="Open","No","Yes"))</f>
        <v/>
      </c>
    </row>
    <row r="336" ht="18" customHeight="1">
      <c r="A336" s="18">
        <f>IF(C336="","",COUNTA($C$2:C336))</f>
        <v/>
      </c>
      <c r="B336" s="18">
        <f>IF(C336="","",TEXT(C336,"dddd"))</f>
        <v/>
      </c>
      <c r="C336" s="19" t="n"/>
      <c r="D336" s="20" t="n"/>
      <c r="E336" s="21" t="n"/>
      <c r="F336" s="21" t="n"/>
      <c r="G336" s="21" t="n"/>
      <c r="H336" s="22" t="n"/>
      <c r="I336" s="23" t="n"/>
      <c r="J336" s="22" t="n"/>
      <c r="K336" s="24" t="n"/>
      <c r="L336" s="24" t="n"/>
      <c r="M336" s="24" t="n"/>
      <c r="N336" s="21" t="n"/>
      <c r="O336" s="24" t="n"/>
      <c r="P336" s="19" t="n"/>
      <c r="Q336" s="20" t="n"/>
      <c r="R336" s="23" t="n"/>
      <c r="S336" s="23" t="n"/>
      <c r="T336" s="21" t="n"/>
      <c r="U336" s="21" t="n"/>
      <c r="V336" s="21" t="n"/>
      <c r="W336" s="21" t="n"/>
      <c r="X336" s="21" t="n"/>
      <c r="Y336" s="25">
        <f>IF($C336="","",IF(E336="XAUUSD",0.1,IF(ISNUMBER(SEARCH("JPY",E336)),0.01,0.0001)))</f>
        <v/>
      </c>
      <c r="Z336" s="18">
        <f>IF($C336="","",IF(F336="Sell",-1,1))</f>
        <v/>
      </c>
      <c r="AA336" s="18">
        <f>IF($C336="","",IF(E336="XAUUSD",100,100000))</f>
        <v/>
      </c>
      <c r="AB336" s="26">
        <f>IF(OR(K336="",L336=""),"",ABS(K336-L336)/Y336)</f>
        <v/>
      </c>
      <c r="AC336" s="26">
        <f>IF(OR(K336="",M336=""),"",ABS(M336-K336)/Y336)</f>
        <v/>
      </c>
      <c r="AD336" s="26">
        <f>IF(OR(K336="",O336=""),"",(O336-K336)*Z336/Y336)</f>
        <v/>
      </c>
      <c r="AE336" s="27">
        <f>IF(OR(AB336="",AB336=0,AC336=""),"",AC336/AB336)</f>
        <v/>
      </c>
      <c r="AF336" s="27">
        <f>IF(OR(AB336="",AB336=0,AD336=""),"",AD336/AB336)</f>
        <v/>
      </c>
      <c r="AG336" s="27">
        <f>IF(OR(C336="",P336=""),"",((P336+IF(Q336="",0,Q336))-(C336+IF(D336="",0,D336)))*24)</f>
        <v/>
      </c>
      <c r="AH336" s="18">
        <f>IF(AG336="","",INT(AG336/24)&amp;"d "&amp;INT(MOD(AG336,24))&amp;"h "&amp;INT(MOD(AG336*60,60))&amp;"m")</f>
        <v/>
      </c>
      <c r="AI336" s="28">
        <f>IF(OR(O336="",K336="",H336=""),"",IF(OR(E336="XAUUSD",RIGHT(E336,3)="USD"),(O336-K336)*Z336*AA336*H336,IF(LEFT(E336,3)="USD",IF(O336=0,"",(O336-K336)*Z336*AA336*H336/O336),AD336*10*H336)))</f>
        <v/>
      </c>
      <c r="AJ336" s="28">
        <f>IF(O336="","",IF(S336="",IF(AI336="",0,AI336),S336)-IF(R336="",0,R336))</f>
        <v/>
      </c>
      <c r="AK336" s="18">
        <f>IF(C336="","",IF(OR(O336="",P336=""),"Open",IF(ABS(AJ336)&lt;=BEThreshold,"BE",IF(AJ336&gt;0,"Win","Loss"))))</f>
        <v/>
      </c>
      <c r="AL336" s="28">
        <f>IF(OR(C336="",AK336="Open"),"",InitialCapital+SUMIFS($AJ$2:AJ336,$AK$2:AK336,"&lt;&gt;Open"))</f>
        <v/>
      </c>
      <c r="AM336" s="18">
        <f>IF(OR(C336="",AK336=""),"",IF(AK336="Open","No","Yes"))</f>
        <v/>
      </c>
    </row>
    <row r="337" ht="18" customHeight="1">
      <c r="A337" s="18">
        <f>IF(C337="","",COUNTA($C$2:C337))</f>
        <v/>
      </c>
      <c r="B337" s="18">
        <f>IF(C337="","",TEXT(C337,"dddd"))</f>
        <v/>
      </c>
      <c r="C337" s="19" t="n"/>
      <c r="D337" s="20" t="n"/>
      <c r="E337" s="21" t="n"/>
      <c r="F337" s="21" t="n"/>
      <c r="G337" s="21" t="n"/>
      <c r="H337" s="22" t="n"/>
      <c r="I337" s="23" t="n"/>
      <c r="J337" s="22" t="n"/>
      <c r="K337" s="24" t="n"/>
      <c r="L337" s="24" t="n"/>
      <c r="M337" s="24" t="n"/>
      <c r="N337" s="21" t="n"/>
      <c r="O337" s="24" t="n"/>
      <c r="P337" s="19" t="n"/>
      <c r="Q337" s="20" t="n"/>
      <c r="R337" s="23" t="n"/>
      <c r="S337" s="23" t="n"/>
      <c r="T337" s="21" t="n"/>
      <c r="U337" s="21" t="n"/>
      <c r="V337" s="21" t="n"/>
      <c r="W337" s="21" t="n"/>
      <c r="X337" s="21" t="n"/>
      <c r="Y337" s="25">
        <f>IF($C337="","",IF(E337="XAUUSD",0.1,IF(ISNUMBER(SEARCH("JPY",E337)),0.01,0.0001)))</f>
        <v/>
      </c>
      <c r="Z337" s="18">
        <f>IF($C337="","",IF(F337="Sell",-1,1))</f>
        <v/>
      </c>
      <c r="AA337" s="18">
        <f>IF($C337="","",IF(E337="XAUUSD",100,100000))</f>
        <v/>
      </c>
      <c r="AB337" s="26">
        <f>IF(OR(K337="",L337=""),"",ABS(K337-L337)/Y337)</f>
        <v/>
      </c>
      <c r="AC337" s="26">
        <f>IF(OR(K337="",M337=""),"",ABS(M337-K337)/Y337)</f>
        <v/>
      </c>
      <c r="AD337" s="26">
        <f>IF(OR(K337="",O337=""),"",(O337-K337)*Z337/Y337)</f>
        <v/>
      </c>
      <c r="AE337" s="27">
        <f>IF(OR(AB337="",AB337=0,AC337=""),"",AC337/AB337)</f>
        <v/>
      </c>
      <c r="AF337" s="27">
        <f>IF(OR(AB337="",AB337=0,AD337=""),"",AD337/AB337)</f>
        <v/>
      </c>
      <c r="AG337" s="27">
        <f>IF(OR(C337="",P337=""),"",((P337+IF(Q337="",0,Q337))-(C337+IF(D337="",0,D337)))*24)</f>
        <v/>
      </c>
      <c r="AH337" s="18">
        <f>IF(AG337="","",INT(AG337/24)&amp;"d "&amp;INT(MOD(AG337,24))&amp;"h "&amp;INT(MOD(AG337*60,60))&amp;"m")</f>
        <v/>
      </c>
      <c r="AI337" s="28">
        <f>IF(OR(O337="",K337="",H337=""),"",IF(OR(E337="XAUUSD",RIGHT(E337,3)="USD"),(O337-K337)*Z337*AA337*H337,IF(LEFT(E337,3)="USD",IF(O337=0,"",(O337-K337)*Z337*AA337*H337/O337),AD337*10*H337)))</f>
        <v/>
      </c>
      <c r="AJ337" s="28">
        <f>IF(O337="","",IF(S337="",IF(AI337="",0,AI337),S337)-IF(R337="",0,R337))</f>
        <v/>
      </c>
      <c r="AK337" s="18">
        <f>IF(C337="","",IF(OR(O337="",P337=""),"Open",IF(ABS(AJ337)&lt;=BEThreshold,"BE",IF(AJ337&gt;0,"Win","Loss"))))</f>
        <v/>
      </c>
      <c r="AL337" s="28">
        <f>IF(OR(C337="",AK337="Open"),"",InitialCapital+SUMIFS($AJ$2:AJ337,$AK$2:AK337,"&lt;&gt;Open"))</f>
        <v/>
      </c>
      <c r="AM337" s="18">
        <f>IF(OR(C337="",AK337=""),"",IF(AK337="Open","No","Yes"))</f>
        <v/>
      </c>
    </row>
    <row r="338" ht="18" customHeight="1">
      <c r="A338" s="18">
        <f>IF(C338="","",COUNTA($C$2:C338))</f>
        <v/>
      </c>
      <c r="B338" s="18">
        <f>IF(C338="","",TEXT(C338,"dddd"))</f>
        <v/>
      </c>
      <c r="C338" s="19" t="n"/>
      <c r="D338" s="20" t="n"/>
      <c r="E338" s="21" t="n"/>
      <c r="F338" s="21" t="n"/>
      <c r="G338" s="21" t="n"/>
      <c r="H338" s="22" t="n"/>
      <c r="I338" s="23" t="n"/>
      <c r="J338" s="22" t="n"/>
      <c r="K338" s="24" t="n"/>
      <c r="L338" s="24" t="n"/>
      <c r="M338" s="24" t="n"/>
      <c r="N338" s="21" t="n"/>
      <c r="O338" s="24" t="n"/>
      <c r="P338" s="19" t="n"/>
      <c r="Q338" s="20" t="n"/>
      <c r="R338" s="23" t="n"/>
      <c r="S338" s="23" t="n"/>
      <c r="T338" s="21" t="n"/>
      <c r="U338" s="21" t="n"/>
      <c r="V338" s="21" t="n"/>
      <c r="W338" s="21" t="n"/>
      <c r="X338" s="21" t="n"/>
      <c r="Y338" s="25">
        <f>IF($C338="","",IF(E338="XAUUSD",0.1,IF(ISNUMBER(SEARCH("JPY",E338)),0.01,0.0001)))</f>
        <v/>
      </c>
      <c r="Z338" s="18">
        <f>IF($C338="","",IF(F338="Sell",-1,1))</f>
        <v/>
      </c>
      <c r="AA338" s="18">
        <f>IF($C338="","",IF(E338="XAUUSD",100,100000))</f>
        <v/>
      </c>
      <c r="AB338" s="26">
        <f>IF(OR(K338="",L338=""),"",ABS(K338-L338)/Y338)</f>
        <v/>
      </c>
      <c r="AC338" s="26">
        <f>IF(OR(K338="",M338=""),"",ABS(M338-K338)/Y338)</f>
        <v/>
      </c>
      <c r="AD338" s="26">
        <f>IF(OR(K338="",O338=""),"",(O338-K338)*Z338/Y338)</f>
        <v/>
      </c>
      <c r="AE338" s="27">
        <f>IF(OR(AB338="",AB338=0,AC338=""),"",AC338/AB338)</f>
        <v/>
      </c>
      <c r="AF338" s="27">
        <f>IF(OR(AB338="",AB338=0,AD338=""),"",AD338/AB338)</f>
        <v/>
      </c>
      <c r="AG338" s="27">
        <f>IF(OR(C338="",P338=""),"",((P338+IF(Q338="",0,Q338))-(C338+IF(D338="",0,D338)))*24)</f>
        <v/>
      </c>
      <c r="AH338" s="18">
        <f>IF(AG338="","",INT(AG338/24)&amp;"d "&amp;INT(MOD(AG338,24))&amp;"h "&amp;INT(MOD(AG338*60,60))&amp;"m")</f>
        <v/>
      </c>
      <c r="AI338" s="28">
        <f>IF(OR(O338="",K338="",H338=""),"",IF(OR(E338="XAUUSD",RIGHT(E338,3)="USD"),(O338-K338)*Z338*AA338*H338,IF(LEFT(E338,3)="USD",IF(O338=0,"",(O338-K338)*Z338*AA338*H338/O338),AD338*10*H338)))</f>
        <v/>
      </c>
      <c r="AJ338" s="28">
        <f>IF(O338="","",IF(S338="",IF(AI338="",0,AI338),S338)-IF(R338="",0,R338))</f>
        <v/>
      </c>
      <c r="AK338" s="18">
        <f>IF(C338="","",IF(OR(O338="",P338=""),"Open",IF(ABS(AJ338)&lt;=BEThreshold,"BE",IF(AJ338&gt;0,"Win","Loss"))))</f>
        <v/>
      </c>
      <c r="AL338" s="28">
        <f>IF(OR(C338="",AK338="Open"),"",InitialCapital+SUMIFS($AJ$2:AJ338,$AK$2:AK338,"&lt;&gt;Open"))</f>
        <v/>
      </c>
      <c r="AM338" s="18">
        <f>IF(OR(C338="",AK338=""),"",IF(AK338="Open","No","Yes"))</f>
        <v/>
      </c>
    </row>
    <row r="339" ht="18" customHeight="1">
      <c r="A339" s="18">
        <f>IF(C339="","",COUNTA($C$2:C339))</f>
        <v/>
      </c>
      <c r="B339" s="18">
        <f>IF(C339="","",TEXT(C339,"dddd"))</f>
        <v/>
      </c>
      <c r="C339" s="19" t="n"/>
      <c r="D339" s="20" t="n"/>
      <c r="E339" s="21" t="n"/>
      <c r="F339" s="21" t="n"/>
      <c r="G339" s="21" t="n"/>
      <c r="H339" s="22" t="n"/>
      <c r="I339" s="23" t="n"/>
      <c r="J339" s="22" t="n"/>
      <c r="K339" s="24" t="n"/>
      <c r="L339" s="24" t="n"/>
      <c r="M339" s="24" t="n"/>
      <c r="N339" s="21" t="n"/>
      <c r="O339" s="24" t="n"/>
      <c r="P339" s="19" t="n"/>
      <c r="Q339" s="20" t="n"/>
      <c r="R339" s="23" t="n"/>
      <c r="S339" s="23" t="n"/>
      <c r="T339" s="21" t="n"/>
      <c r="U339" s="21" t="n"/>
      <c r="V339" s="21" t="n"/>
      <c r="W339" s="21" t="n"/>
      <c r="X339" s="21" t="n"/>
      <c r="Y339" s="25">
        <f>IF($C339="","",IF(E339="XAUUSD",0.1,IF(ISNUMBER(SEARCH("JPY",E339)),0.01,0.0001)))</f>
        <v/>
      </c>
      <c r="Z339" s="18">
        <f>IF($C339="","",IF(F339="Sell",-1,1))</f>
        <v/>
      </c>
      <c r="AA339" s="18">
        <f>IF($C339="","",IF(E339="XAUUSD",100,100000))</f>
        <v/>
      </c>
      <c r="AB339" s="26">
        <f>IF(OR(K339="",L339=""),"",ABS(K339-L339)/Y339)</f>
        <v/>
      </c>
      <c r="AC339" s="26">
        <f>IF(OR(K339="",M339=""),"",ABS(M339-K339)/Y339)</f>
        <v/>
      </c>
      <c r="AD339" s="26">
        <f>IF(OR(K339="",O339=""),"",(O339-K339)*Z339/Y339)</f>
        <v/>
      </c>
      <c r="AE339" s="27">
        <f>IF(OR(AB339="",AB339=0,AC339=""),"",AC339/AB339)</f>
        <v/>
      </c>
      <c r="AF339" s="27">
        <f>IF(OR(AB339="",AB339=0,AD339=""),"",AD339/AB339)</f>
        <v/>
      </c>
      <c r="AG339" s="27">
        <f>IF(OR(C339="",P339=""),"",((P339+IF(Q339="",0,Q339))-(C339+IF(D339="",0,D339)))*24)</f>
        <v/>
      </c>
      <c r="AH339" s="18">
        <f>IF(AG339="","",INT(AG339/24)&amp;"d "&amp;INT(MOD(AG339,24))&amp;"h "&amp;INT(MOD(AG339*60,60))&amp;"m")</f>
        <v/>
      </c>
      <c r="AI339" s="28">
        <f>IF(OR(O339="",K339="",H339=""),"",IF(OR(E339="XAUUSD",RIGHT(E339,3)="USD"),(O339-K339)*Z339*AA339*H339,IF(LEFT(E339,3)="USD",IF(O339=0,"",(O339-K339)*Z339*AA339*H339/O339),AD339*10*H339)))</f>
        <v/>
      </c>
      <c r="AJ339" s="28">
        <f>IF(O339="","",IF(S339="",IF(AI339="",0,AI339),S339)-IF(R339="",0,R339))</f>
        <v/>
      </c>
      <c r="AK339" s="18">
        <f>IF(C339="","",IF(OR(O339="",P339=""),"Open",IF(ABS(AJ339)&lt;=BEThreshold,"BE",IF(AJ339&gt;0,"Win","Loss"))))</f>
        <v/>
      </c>
      <c r="AL339" s="28">
        <f>IF(OR(C339="",AK339="Open"),"",InitialCapital+SUMIFS($AJ$2:AJ339,$AK$2:AK339,"&lt;&gt;Open"))</f>
        <v/>
      </c>
      <c r="AM339" s="18">
        <f>IF(OR(C339="",AK339=""),"",IF(AK339="Open","No","Yes"))</f>
        <v/>
      </c>
    </row>
    <row r="340" ht="18" customHeight="1">
      <c r="A340" s="18">
        <f>IF(C340="","",COUNTA($C$2:C340))</f>
        <v/>
      </c>
      <c r="B340" s="18">
        <f>IF(C340="","",TEXT(C340,"dddd"))</f>
        <v/>
      </c>
      <c r="C340" s="19" t="n"/>
      <c r="D340" s="20" t="n"/>
      <c r="E340" s="21" t="n"/>
      <c r="F340" s="21" t="n"/>
      <c r="G340" s="21" t="n"/>
      <c r="H340" s="22" t="n"/>
      <c r="I340" s="23" t="n"/>
      <c r="J340" s="22" t="n"/>
      <c r="K340" s="24" t="n"/>
      <c r="L340" s="24" t="n"/>
      <c r="M340" s="24" t="n"/>
      <c r="N340" s="21" t="n"/>
      <c r="O340" s="24" t="n"/>
      <c r="P340" s="19" t="n"/>
      <c r="Q340" s="20" t="n"/>
      <c r="R340" s="23" t="n"/>
      <c r="S340" s="23" t="n"/>
      <c r="T340" s="21" t="n"/>
      <c r="U340" s="21" t="n"/>
      <c r="V340" s="21" t="n"/>
      <c r="W340" s="21" t="n"/>
      <c r="X340" s="21" t="n"/>
      <c r="Y340" s="25">
        <f>IF($C340="","",IF(E340="XAUUSD",0.1,IF(ISNUMBER(SEARCH("JPY",E340)),0.01,0.0001)))</f>
        <v/>
      </c>
      <c r="Z340" s="18">
        <f>IF($C340="","",IF(F340="Sell",-1,1))</f>
        <v/>
      </c>
      <c r="AA340" s="18">
        <f>IF($C340="","",IF(E340="XAUUSD",100,100000))</f>
        <v/>
      </c>
      <c r="AB340" s="26">
        <f>IF(OR(K340="",L340=""),"",ABS(K340-L340)/Y340)</f>
        <v/>
      </c>
      <c r="AC340" s="26">
        <f>IF(OR(K340="",M340=""),"",ABS(M340-K340)/Y340)</f>
        <v/>
      </c>
      <c r="AD340" s="26">
        <f>IF(OR(K340="",O340=""),"",(O340-K340)*Z340/Y340)</f>
        <v/>
      </c>
      <c r="AE340" s="27">
        <f>IF(OR(AB340="",AB340=0,AC340=""),"",AC340/AB340)</f>
        <v/>
      </c>
      <c r="AF340" s="27">
        <f>IF(OR(AB340="",AB340=0,AD340=""),"",AD340/AB340)</f>
        <v/>
      </c>
      <c r="AG340" s="27">
        <f>IF(OR(C340="",P340=""),"",((P340+IF(Q340="",0,Q340))-(C340+IF(D340="",0,D340)))*24)</f>
        <v/>
      </c>
      <c r="AH340" s="18">
        <f>IF(AG340="","",INT(AG340/24)&amp;"d "&amp;INT(MOD(AG340,24))&amp;"h "&amp;INT(MOD(AG340*60,60))&amp;"m")</f>
        <v/>
      </c>
      <c r="AI340" s="28">
        <f>IF(OR(O340="",K340="",H340=""),"",IF(OR(E340="XAUUSD",RIGHT(E340,3)="USD"),(O340-K340)*Z340*AA340*H340,IF(LEFT(E340,3)="USD",IF(O340=0,"",(O340-K340)*Z340*AA340*H340/O340),AD340*10*H340)))</f>
        <v/>
      </c>
      <c r="AJ340" s="28">
        <f>IF(O340="","",IF(S340="",IF(AI340="",0,AI340),S340)-IF(R340="",0,R340))</f>
        <v/>
      </c>
      <c r="AK340" s="18">
        <f>IF(C340="","",IF(OR(O340="",P340=""),"Open",IF(ABS(AJ340)&lt;=BEThreshold,"BE",IF(AJ340&gt;0,"Win","Loss"))))</f>
        <v/>
      </c>
      <c r="AL340" s="28">
        <f>IF(OR(C340="",AK340="Open"),"",InitialCapital+SUMIFS($AJ$2:AJ340,$AK$2:AK340,"&lt;&gt;Open"))</f>
        <v/>
      </c>
      <c r="AM340" s="18">
        <f>IF(OR(C340="",AK340=""),"",IF(AK340="Open","No","Yes"))</f>
        <v/>
      </c>
    </row>
    <row r="341" ht="18" customHeight="1">
      <c r="A341" s="18">
        <f>IF(C341="","",COUNTA($C$2:C341))</f>
        <v/>
      </c>
      <c r="B341" s="18">
        <f>IF(C341="","",TEXT(C341,"dddd"))</f>
        <v/>
      </c>
      <c r="C341" s="19" t="n"/>
      <c r="D341" s="20" t="n"/>
      <c r="E341" s="21" t="n"/>
      <c r="F341" s="21" t="n"/>
      <c r="G341" s="21" t="n"/>
      <c r="H341" s="22" t="n"/>
      <c r="I341" s="23" t="n"/>
      <c r="J341" s="22" t="n"/>
      <c r="K341" s="24" t="n"/>
      <c r="L341" s="24" t="n"/>
      <c r="M341" s="24" t="n"/>
      <c r="N341" s="21" t="n"/>
      <c r="O341" s="24" t="n"/>
      <c r="P341" s="19" t="n"/>
      <c r="Q341" s="20" t="n"/>
      <c r="R341" s="23" t="n"/>
      <c r="S341" s="23" t="n"/>
      <c r="T341" s="21" t="n"/>
      <c r="U341" s="21" t="n"/>
      <c r="V341" s="21" t="n"/>
      <c r="W341" s="21" t="n"/>
      <c r="X341" s="21" t="n"/>
      <c r="Y341" s="25">
        <f>IF($C341="","",IF(E341="XAUUSD",0.1,IF(ISNUMBER(SEARCH("JPY",E341)),0.01,0.0001)))</f>
        <v/>
      </c>
      <c r="Z341" s="18">
        <f>IF($C341="","",IF(F341="Sell",-1,1))</f>
        <v/>
      </c>
      <c r="AA341" s="18">
        <f>IF($C341="","",IF(E341="XAUUSD",100,100000))</f>
        <v/>
      </c>
      <c r="AB341" s="26">
        <f>IF(OR(K341="",L341=""),"",ABS(K341-L341)/Y341)</f>
        <v/>
      </c>
      <c r="AC341" s="26">
        <f>IF(OR(K341="",M341=""),"",ABS(M341-K341)/Y341)</f>
        <v/>
      </c>
      <c r="AD341" s="26">
        <f>IF(OR(K341="",O341=""),"",(O341-K341)*Z341/Y341)</f>
        <v/>
      </c>
      <c r="AE341" s="27">
        <f>IF(OR(AB341="",AB341=0,AC341=""),"",AC341/AB341)</f>
        <v/>
      </c>
      <c r="AF341" s="27">
        <f>IF(OR(AB341="",AB341=0,AD341=""),"",AD341/AB341)</f>
        <v/>
      </c>
      <c r="AG341" s="27">
        <f>IF(OR(C341="",P341=""),"",((P341+IF(Q341="",0,Q341))-(C341+IF(D341="",0,D341)))*24)</f>
        <v/>
      </c>
      <c r="AH341" s="18">
        <f>IF(AG341="","",INT(AG341/24)&amp;"d "&amp;INT(MOD(AG341,24))&amp;"h "&amp;INT(MOD(AG341*60,60))&amp;"m")</f>
        <v/>
      </c>
      <c r="AI341" s="28">
        <f>IF(OR(O341="",K341="",H341=""),"",IF(OR(E341="XAUUSD",RIGHT(E341,3)="USD"),(O341-K341)*Z341*AA341*H341,IF(LEFT(E341,3)="USD",IF(O341=0,"",(O341-K341)*Z341*AA341*H341/O341),AD341*10*H341)))</f>
        <v/>
      </c>
      <c r="AJ341" s="28">
        <f>IF(O341="","",IF(S341="",IF(AI341="",0,AI341),S341)-IF(R341="",0,R341))</f>
        <v/>
      </c>
      <c r="AK341" s="18">
        <f>IF(C341="","",IF(OR(O341="",P341=""),"Open",IF(ABS(AJ341)&lt;=BEThreshold,"BE",IF(AJ341&gt;0,"Win","Loss"))))</f>
        <v/>
      </c>
      <c r="AL341" s="28">
        <f>IF(OR(C341="",AK341="Open"),"",InitialCapital+SUMIFS($AJ$2:AJ341,$AK$2:AK341,"&lt;&gt;Open"))</f>
        <v/>
      </c>
      <c r="AM341" s="18">
        <f>IF(OR(C341="",AK341=""),"",IF(AK341="Open","No","Yes"))</f>
        <v/>
      </c>
    </row>
    <row r="342" ht="18" customHeight="1">
      <c r="A342" s="18">
        <f>IF(C342="","",COUNTA($C$2:C342))</f>
        <v/>
      </c>
      <c r="B342" s="18">
        <f>IF(C342="","",TEXT(C342,"dddd"))</f>
        <v/>
      </c>
      <c r="C342" s="19" t="n"/>
      <c r="D342" s="20" t="n"/>
      <c r="E342" s="21" t="n"/>
      <c r="F342" s="21" t="n"/>
      <c r="G342" s="21" t="n"/>
      <c r="H342" s="22" t="n"/>
      <c r="I342" s="23" t="n"/>
      <c r="J342" s="22" t="n"/>
      <c r="K342" s="24" t="n"/>
      <c r="L342" s="24" t="n"/>
      <c r="M342" s="24" t="n"/>
      <c r="N342" s="21" t="n"/>
      <c r="O342" s="24" t="n"/>
      <c r="P342" s="19" t="n"/>
      <c r="Q342" s="20" t="n"/>
      <c r="R342" s="23" t="n"/>
      <c r="S342" s="23" t="n"/>
      <c r="T342" s="21" t="n"/>
      <c r="U342" s="21" t="n"/>
      <c r="V342" s="21" t="n"/>
      <c r="W342" s="21" t="n"/>
      <c r="X342" s="21" t="n"/>
      <c r="Y342" s="25">
        <f>IF($C342="","",IF(E342="XAUUSD",0.1,IF(ISNUMBER(SEARCH("JPY",E342)),0.01,0.0001)))</f>
        <v/>
      </c>
      <c r="Z342" s="18">
        <f>IF($C342="","",IF(F342="Sell",-1,1))</f>
        <v/>
      </c>
      <c r="AA342" s="18">
        <f>IF($C342="","",IF(E342="XAUUSD",100,100000))</f>
        <v/>
      </c>
      <c r="AB342" s="26">
        <f>IF(OR(K342="",L342=""),"",ABS(K342-L342)/Y342)</f>
        <v/>
      </c>
      <c r="AC342" s="26">
        <f>IF(OR(K342="",M342=""),"",ABS(M342-K342)/Y342)</f>
        <v/>
      </c>
      <c r="AD342" s="26">
        <f>IF(OR(K342="",O342=""),"",(O342-K342)*Z342/Y342)</f>
        <v/>
      </c>
      <c r="AE342" s="27">
        <f>IF(OR(AB342="",AB342=0,AC342=""),"",AC342/AB342)</f>
        <v/>
      </c>
      <c r="AF342" s="27">
        <f>IF(OR(AB342="",AB342=0,AD342=""),"",AD342/AB342)</f>
        <v/>
      </c>
      <c r="AG342" s="27">
        <f>IF(OR(C342="",P342=""),"",((P342+IF(Q342="",0,Q342))-(C342+IF(D342="",0,D342)))*24)</f>
        <v/>
      </c>
      <c r="AH342" s="18">
        <f>IF(AG342="","",INT(AG342/24)&amp;"d "&amp;INT(MOD(AG342,24))&amp;"h "&amp;INT(MOD(AG342*60,60))&amp;"m")</f>
        <v/>
      </c>
      <c r="AI342" s="28">
        <f>IF(OR(O342="",K342="",H342=""),"",IF(OR(E342="XAUUSD",RIGHT(E342,3)="USD"),(O342-K342)*Z342*AA342*H342,IF(LEFT(E342,3)="USD",IF(O342=0,"",(O342-K342)*Z342*AA342*H342/O342),AD342*10*H342)))</f>
        <v/>
      </c>
      <c r="AJ342" s="28">
        <f>IF(O342="","",IF(S342="",IF(AI342="",0,AI342),S342)-IF(R342="",0,R342))</f>
        <v/>
      </c>
      <c r="AK342" s="18">
        <f>IF(C342="","",IF(OR(O342="",P342=""),"Open",IF(ABS(AJ342)&lt;=BEThreshold,"BE",IF(AJ342&gt;0,"Win","Loss"))))</f>
        <v/>
      </c>
      <c r="AL342" s="28">
        <f>IF(OR(C342="",AK342="Open"),"",InitialCapital+SUMIFS($AJ$2:AJ342,$AK$2:AK342,"&lt;&gt;Open"))</f>
        <v/>
      </c>
      <c r="AM342" s="18">
        <f>IF(OR(C342="",AK342=""),"",IF(AK342="Open","No","Yes"))</f>
        <v/>
      </c>
    </row>
    <row r="343" ht="18" customHeight="1">
      <c r="A343" s="18">
        <f>IF(C343="","",COUNTA($C$2:C343))</f>
        <v/>
      </c>
      <c r="B343" s="18">
        <f>IF(C343="","",TEXT(C343,"dddd"))</f>
        <v/>
      </c>
      <c r="C343" s="19" t="n"/>
      <c r="D343" s="20" t="n"/>
      <c r="E343" s="21" t="n"/>
      <c r="F343" s="21" t="n"/>
      <c r="G343" s="21" t="n"/>
      <c r="H343" s="22" t="n"/>
      <c r="I343" s="23" t="n"/>
      <c r="J343" s="22" t="n"/>
      <c r="K343" s="24" t="n"/>
      <c r="L343" s="24" t="n"/>
      <c r="M343" s="24" t="n"/>
      <c r="N343" s="21" t="n"/>
      <c r="O343" s="24" t="n"/>
      <c r="P343" s="19" t="n"/>
      <c r="Q343" s="20" t="n"/>
      <c r="R343" s="23" t="n"/>
      <c r="S343" s="23" t="n"/>
      <c r="T343" s="21" t="n"/>
      <c r="U343" s="21" t="n"/>
      <c r="V343" s="21" t="n"/>
      <c r="W343" s="21" t="n"/>
      <c r="X343" s="21" t="n"/>
      <c r="Y343" s="25">
        <f>IF($C343="","",IF(E343="XAUUSD",0.1,IF(ISNUMBER(SEARCH("JPY",E343)),0.01,0.0001)))</f>
        <v/>
      </c>
      <c r="Z343" s="18">
        <f>IF($C343="","",IF(F343="Sell",-1,1))</f>
        <v/>
      </c>
      <c r="AA343" s="18">
        <f>IF($C343="","",IF(E343="XAUUSD",100,100000))</f>
        <v/>
      </c>
      <c r="AB343" s="26">
        <f>IF(OR(K343="",L343=""),"",ABS(K343-L343)/Y343)</f>
        <v/>
      </c>
      <c r="AC343" s="26">
        <f>IF(OR(K343="",M343=""),"",ABS(M343-K343)/Y343)</f>
        <v/>
      </c>
      <c r="AD343" s="26">
        <f>IF(OR(K343="",O343=""),"",(O343-K343)*Z343/Y343)</f>
        <v/>
      </c>
      <c r="AE343" s="27">
        <f>IF(OR(AB343="",AB343=0,AC343=""),"",AC343/AB343)</f>
        <v/>
      </c>
      <c r="AF343" s="27">
        <f>IF(OR(AB343="",AB343=0,AD343=""),"",AD343/AB343)</f>
        <v/>
      </c>
      <c r="AG343" s="27">
        <f>IF(OR(C343="",P343=""),"",((P343+IF(Q343="",0,Q343))-(C343+IF(D343="",0,D343)))*24)</f>
        <v/>
      </c>
      <c r="AH343" s="18">
        <f>IF(AG343="","",INT(AG343/24)&amp;"d "&amp;INT(MOD(AG343,24))&amp;"h "&amp;INT(MOD(AG343*60,60))&amp;"m")</f>
        <v/>
      </c>
      <c r="AI343" s="28">
        <f>IF(OR(O343="",K343="",H343=""),"",IF(OR(E343="XAUUSD",RIGHT(E343,3)="USD"),(O343-K343)*Z343*AA343*H343,IF(LEFT(E343,3)="USD",IF(O343=0,"",(O343-K343)*Z343*AA343*H343/O343),AD343*10*H343)))</f>
        <v/>
      </c>
      <c r="AJ343" s="28">
        <f>IF(O343="","",IF(S343="",IF(AI343="",0,AI343),S343)-IF(R343="",0,R343))</f>
        <v/>
      </c>
      <c r="AK343" s="18">
        <f>IF(C343="","",IF(OR(O343="",P343=""),"Open",IF(ABS(AJ343)&lt;=BEThreshold,"BE",IF(AJ343&gt;0,"Win","Loss"))))</f>
        <v/>
      </c>
      <c r="AL343" s="28">
        <f>IF(OR(C343="",AK343="Open"),"",InitialCapital+SUMIFS($AJ$2:AJ343,$AK$2:AK343,"&lt;&gt;Open"))</f>
        <v/>
      </c>
      <c r="AM343" s="18">
        <f>IF(OR(C343="",AK343=""),"",IF(AK343="Open","No","Yes"))</f>
        <v/>
      </c>
    </row>
    <row r="344" ht="18" customHeight="1">
      <c r="A344" s="18">
        <f>IF(C344="","",COUNTA($C$2:C344))</f>
        <v/>
      </c>
      <c r="B344" s="18">
        <f>IF(C344="","",TEXT(C344,"dddd"))</f>
        <v/>
      </c>
      <c r="C344" s="19" t="n"/>
      <c r="D344" s="20" t="n"/>
      <c r="E344" s="21" t="n"/>
      <c r="F344" s="21" t="n"/>
      <c r="G344" s="21" t="n"/>
      <c r="H344" s="22" t="n"/>
      <c r="I344" s="23" t="n"/>
      <c r="J344" s="22" t="n"/>
      <c r="K344" s="24" t="n"/>
      <c r="L344" s="24" t="n"/>
      <c r="M344" s="24" t="n"/>
      <c r="N344" s="21" t="n"/>
      <c r="O344" s="24" t="n"/>
      <c r="P344" s="19" t="n"/>
      <c r="Q344" s="20" t="n"/>
      <c r="R344" s="23" t="n"/>
      <c r="S344" s="23" t="n"/>
      <c r="T344" s="21" t="n"/>
      <c r="U344" s="21" t="n"/>
      <c r="V344" s="21" t="n"/>
      <c r="W344" s="21" t="n"/>
      <c r="X344" s="21" t="n"/>
      <c r="Y344" s="25">
        <f>IF($C344="","",IF(E344="XAUUSD",0.1,IF(ISNUMBER(SEARCH("JPY",E344)),0.01,0.0001)))</f>
        <v/>
      </c>
      <c r="Z344" s="18">
        <f>IF($C344="","",IF(F344="Sell",-1,1))</f>
        <v/>
      </c>
      <c r="AA344" s="18">
        <f>IF($C344="","",IF(E344="XAUUSD",100,100000))</f>
        <v/>
      </c>
      <c r="AB344" s="26">
        <f>IF(OR(K344="",L344=""),"",ABS(K344-L344)/Y344)</f>
        <v/>
      </c>
      <c r="AC344" s="26">
        <f>IF(OR(K344="",M344=""),"",ABS(M344-K344)/Y344)</f>
        <v/>
      </c>
      <c r="AD344" s="26">
        <f>IF(OR(K344="",O344=""),"",(O344-K344)*Z344/Y344)</f>
        <v/>
      </c>
      <c r="AE344" s="27">
        <f>IF(OR(AB344="",AB344=0,AC344=""),"",AC344/AB344)</f>
        <v/>
      </c>
      <c r="AF344" s="27">
        <f>IF(OR(AB344="",AB344=0,AD344=""),"",AD344/AB344)</f>
        <v/>
      </c>
      <c r="AG344" s="27">
        <f>IF(OR(C344="",P344=""),"",((P344+IF(Q344="",0,Q344))-(C344+IF(D344="",0,D344)))*24)</f>
        <v/>
      </c>
      <c r="AH344" s="18">
        <f>IF(AG344="","",INT(AG344/24)&amp;"d "&amp;INT(MOD(AG344,24))&amp;"h "&amp;INT(MOD(AG344*60,60))&amp;"m")</f>
        <v/>
      </c>
      <c r="AI344" s="28">
        <f>IF(OR(O344="",K344="",H344=""),"",IF(OR(E344="XAUUSD",RIGHT(E344,3)="USD"),(O344-K344)*Z344*AA344*H344,IF(LEFT(E344,3)="USD",IF(O344=0,"",(O344-K344)*Z344*AA344*H344/O344),AD344*10*H344)))</f>
        <v/>
      </c>
      <c r="AJ344" s="28">
        <f>IF(O344="","",IF(S344="",IF(AI344="",0,AI344),S344)-IF(R344="",0,R344))</f>
        <v/>
      </c>
      <c r="AK344" s="18">
        <f>IF(C344="","",IF(OR(O344="",P344=""),"Open",IF(ABS(AJ344)&lt;=BEThreshold,"BE",IF(AJ344&gt;0,"Win","Loss"))))</f>
        <v/>
      </c>
      <c r="AL344" s="28">
        <f>IF(OR(C344="",AK344="Open"),"",InitialCapital+SUMIFS($AJ$2:AJ344,$AK$2:AK344,"&lt;&gt;Open"))</f>
        <v/>
      </c>
      <c r="AM344" s="18">
        <f>IF(OR(C344="",AK344=""),"",IF(AK344="Open","No","Yes"))</f>
        <v/>
      </c>
    </row>
    <row r="345" ht="18" customHeight="1">
      <c r="A345" s="18">
        <f>IF(C345="","",COUNTA($C$2:C345))</f>
        <v/>
      </c>
      <c r="B345" s="18">
        <f>IF(C345="","",TEXT(C345,"dddd"))</f>
        <v/>
      </c>
      <c r="C345" s="19" t="n"/>
      <c r="D345" s="20" t="n"/>
      <c r="E345" s="21" t="n"/>
      <c r="F345" s="21" t="n"/>
      <c r="G345" s="21" t="n"/>
      <c r="H345" s="22" t="n"/>
      <c r="I345" s="23" t="n"/>
      <c r="J345" s="22" t="n"/>
      <c r="K345" s="24" t="n"/>
      <c r="L345" s="24" t="n"/>
      <c r="M345" s="24" t="n"/>
      <c r="N345" s="21" t="n"/>
      <c r="O345" s="24" t="n"/>
      <c r="P345" s="19" t="n"/>
      <c r="Q345" s="20" t="n"/>
      <c r="R345" s="23" t="n"/>
      <c r="S345" s="23" t="n"/>
      <c r="T345" s="21" t="n"/>
      <c r="U345" s="21" t="n"/>
      <c r="V345" s="21" t="n"/>
      <c r="W345" s="21" t="n"/>
      <c r="X345" s="21" t="n"/>
      <c r="Y345" s="25">
        <f>IF($C345="","",IF(E345="XAUUSD",0.1,IF(ISNUMBER(SEARCH("JPY",E345)),0.01,0.0001)))</f>
        <v/>
      </c>
      <c r="Z345" s="18">
        <f>IF($C345="","",IF(F345="Sell",-1,1))</f>
        <v/>
      </c>
      <c r="AA345" s="18">
        <f>IF($C345="","",IF(E345="XAUUSD",100,100000))</f>
        <v/>
      </c>
      <c r="AB345" s="26">
        <f>IF(OR(K345="",L345=""),"",ABS(K345-L345)/Y345)</f>
        <v/>
      </c>
      <c r="AC345" s="26">
        <f>IF(OR(K345="",M345=""),"",ABS(M345-K345)/Y345)</f>
        <v/>
      </c>
      <c r="AD345" s="26">
        <f>IF(OR(K345="",O345=""),"",(O345-K345)*Z345/Y345)</f>
        <v/>
      </c>
      <c r="AE345" s="27">
        <f>IF(OR(AB345="",AB345=0,AC345=""),"",AC345/AB345)</f>
        <v/>
      </c>
      <c r="AF345" s="27">
        <f>IF(OR(AB345="",AB345=0,AD345=""),"",AD345/AB345)</f>
        <v/>
      </c>
      <c r="AG345" s="27">
        <f>IF(OR(C345="",P345=""),"",((P345+IF(Q345="",0,Q345))-(C345+IF(D345="",0,D345)))*24)</f>
        <v/>
      </c>
      <c r="AH345" s="18">
        <f>IF(AG345="","",INT(AG345/24)&amp;"d "&amp;INT(MOD(AG345,24))&amp;"h "&amp;INT(MOD(AG345*60,60))&amp;"m")</f>
        <v/>
      </c>
      <c r="AI345" s="28">
        <f>IF(OR(O345="",K345="",H345=""),"",IF(OR(E345="XAUUSD",RIGHT(E345,3)="USD"),(O345-K345)*Z345*AA345*H345,IF(LEFT(E345,3)="USD",IF(O345=0,"",(O345-K345)*Z345*AA345*H345/O345),AD345*10*H345)))</f>
        <v/>
      </c>
      <c r="AJ345" s="28">
        <f>IF(O345="","",IF(S345="",IF(AI345="",0,AI345),S345)-IF(R345="",0,R345))</f>
        <v/>
      </c>
      <c r="AK345" s="18">
        <f>IF(C345="","",IF(OR(O345="",P345=""),"Open",IF(ABS(AJ345)&lt;=BEThreshold,"BE",IF(AJ345&gt;0,"Win","Loss"))))</f>
        <v/>
      </c>
      <c r="AL345" s="28">
        <f>IF(OR(C345="",AK345="Open"),"",InitialCapital+SUMIFS($AJ$2:AJ345,$AK$2:AK345,"&lt;&gt;Open"))</f>
        <v/>
      </c>
      <c r="AM345" s="18">
        <f>IF(OR(C345="",AK345=""),"",IF(AK345="Open","No","Yes"))</f>
        <v/>
      </c>
    </row>
    <row r="346" ht="18" customHeight="1">
      <c r="A346" s="18">
        <f>IF(C346="","",COUNTA($C$2:C346))</f>
        <v/>
      </c>
      <c r="B346" s="18">
        <f>IF(C346="","",TEXT(C346,"dddd"))</f>
        <v/>
      </c>
      <c r="C346" s="19" t="n"/>
      <c r="D346" s="20" t="n"/>
      <c r="E346" s="21" t="n"/>
      <c r="F346" s="21" t="n"/>
      <c r="G346" s="21" t="n"/>
      <c r="H346" s="22" t="n"/>
      <c r="I346" s="23" t="n"/>
      <c r="J346" s="22" t="n"/>
      <c r="K346" s="24" t="n"/>
      <c r="L346" s="24" t="n"/>
      <c r="M346" s="24" t="n"/>
      <c r="N346" s="21" t="n"/>
      <c r="O346" s="24" t="n"/>
      <c r="P346" s="19" t="n"/>
      <c r="Q346" s="20" t="n"/>
      <c r="R346" s="23" t="n"/>
      <c r="S346" s="23" t="n"/>
      <c r="T346" s="21" t="n"/>
      <c r="U346" s="21" t="n"/>
      <c r="V346" s="21" t="n"/>
      <c r="W346" s="21" t="n"/>
      <c r="X346" s="21" t="n"/>
      <c r="Y346" s="25">
        <f>IF($C346="","",IF(E346="XAUUSD",0.1,IF(ISNUMBER(SEARCH("JPY",E346)),0.01,0.0001)))</f>
        <v/>
      </c>
      <c r="Z346" s="18">
        <f>IF($C346="","",IF(F346="Sell",-1,1))</f>
        <v/>
      </c>
      <c r="AA346" s="18">
        <f>IF($C346="","",IF(E346="XAUUSD",100,100000))</f>
        <v/>
      </c>
      <c r="AB346" s="26">
        <f>IF(OR(K346="",L346=""),"",ABS(K346-L346)/Y346)</f>
        <v/>
      </c>
      <c r="AC346" s="26">
        <f>IF(OR(K346="",M346=""),"",ABS(M346-K346)/Y346)</f>
        <v/>
      </c>
      <c r="AD346" s="26">
        <f>IF(OR(K346="",O346=""),"",(O346-K346)*Z346/Y346)</f>
        <v/>
      </c>
      <c r="AE346" s="27">
        <f>IF(OR(AB346="",AB346=0,AC346=""),"",AC346/AB346)</f>
        <v/>
      </c>
      <c r="AF346" s="27">
        <f>IF(OR(AB346="",AB346=0,AD346=""),"",AD346/AB346)</f>
        <v/>
      </c>
      <c r="AG346" s="27">
        <f>IF(OR(C346="",P346=""),"",((P346+IF(Q346="",0,Q346))-(C346+IF(D346="",0,D346)))*24)</f>
        <v/>
      </c>
      <c r="AH346" s="18">
        <f>IF(AG346="","",INT(AG346/24)&amp;"d "&amp;INT(MOD(AG346,24))&amp;"h "&amp;INT(MOD(AG346*60,60))&amp;"m")</f>
        <v/>
      </c>
      <c r="AI346" s="28">
        <f>IF(OR(O346="",K346="",H346=""),"",IF(OR(E346="XAUUSD",RIGHT(E346,3)="USD"),(O346-K346)*Z346*AA346*H346,IF(LEFT(E346,3)="USD",IF(O346=0,"",(O346-K346)*Z346*AA346*H346/O346),AD346*10*H346)))</f>
        <v/>
      </c>
      <c r="AJ346" s="28">
        <f>IF(O346="","",IF(S346="",IF(AI346="",0,AI346),S346)-IF(R346="",0,R346))</f>
        <v/>
      </c>
      <c r="AK346" s="18">
        <f>IF(C346="","",IF(OR(O346="",P346=""),"Open",IF(ABS(AJ346)&lt;=BEThreshold,"BE",IF(AJ346&gt;0,"Win","Loss"))))</f>
        <v/>
      </c>
      <c r="AL346" s="28">
        <f>IF(OR(C346="",AK346="Open"),"",InitialCapital+SUMIFS($AJ$2:AJ346,$AK$2:AK346,"&lt;&gt;Open"))</f>
        <v/>
      </c>
      <c r="AM346" s="18">
        <f>IF(OR(C346="",AK346=""),"",IF(AK346="Open","No","Yes"))</f>
        <v/>
      </c>
    </row>
    <row r="347" ht="18" customHeight="1">
      <c r="A347" s="18">
        <f>IF(C347="","",COUNTA($C$2:C347))</f>
        <v/>
      </c>
      <c r="B347" s="18">
        <f>IF(C347="","",TEXT(C347,"dddd"))</f>
        <v/>
      </c>
      <c r="C347" s="19" t="n"/>
      <c r="D347" s="20" t="n"/>
      <c r="E347" s="21" t="n"/>
      <c r="F347" s="21" t="n"/>
      <c r="G347" s="21" t="n"/>
      <c r="H347" s="22" t="n"/>
      <c r="I347" s="23" t="n"/>
      <c r="J347" s="22" t="n"/>
      <c r="K347" s="24" t="n"/>
      <c r="L347" s="24" t="n"/>
      <c r="M347" s="24" t="n"/>
      <c r="N347" s="21" t="n"/>
      <c r="O347" s="24" t="n"/>
      <c r="P347" s="19" t="n"/>
      <c r="Q347" s="20" t="n"/>
      <c r="R347" s="23" t="n"/>
      <c r="S347" s="23" t="n"/>
      <c r="T347" s="21" t="n"/>
      <c r="U347" s="21" t="n"/>
      <c r="V347" s="21" t="n"/>
      <c r="W347" s="21" t="n"/>
      <c r="X347" s="21" t="n"/>
      <c r="Y347" s="25">
        <f>IF($C347="","",IF(E347="XAUUSD",0.1,IF(ISNUMBER(SEARCH("JPY",E347)),0.01,0.0001)))</f>
        <v/>
      </c>
      <c r="Z347" s="18">
        <f>IF($C347="","",IF(F347="Sell",-1,1))</f>
        <v/>
      </c>
      <c r="AA347" s="18">
        <f>IF($C347="","",IF(E347="XAUUSD",100,100000))</f>
        <v/>
      </c>
      <c r="AB347" s="26">
        <f>IF(OR(K347="",L347=""),"",ABS(K347-L347)/Y347)</f>
        <v/>
      </c>
      <c r="AC347" s="26">
        <f>IF(OR(K347="",M347=""),"",ABS(M347-K347)/Y347)</f>
        <v/>
      </c>
      <c r="AD347" s="26">
        <f>IF(OR(K347="",O347=""),"",(O347-K347)*Z347/Y347)</f>
        <v/>
      </c>
      <c r="AE347" s="27">
        <f>IF(OR(AB347="",AB347=0,AC347=""),"",AC347/AB347)</f>
        <v/>
      </c>
      <c r="AF347" s="27">
        <f>IF(OR(AB347="",AB347=0,AD347=""),"",AD347/AB347)</f>
        <v/>
      </c>
      <c r="AG347" s="27">
        <f>IF(OR(C347="",P347=""),"",((P347+IF(Q347="",0,Q347))-(C347+IF(D347="",0,D347)))*24)</f>
        <v/>
      </c>
      <c r="AH347" s="18">
        <f>IF(AG347="","",INT(AG347/24)&amp;"d "&amp;INT(MOD(AG347,24))&amp;"h "&amp;INT(MOD(AG347*60,60))&amp;"m")</f>
        <v/>
      </c>
      <c r="AI347" s="28">
        <f>IF(OR(O347="",K347="",H347=""),"",IF(OR(E347="XAUUSD",RIGHT(E347,3)="USD"),(O347-K347)*Z347*AA347*H347,IF(LEFT(E347,3)="USD",IF(O347=0,"",(O347-K347)*Z347*AA347*H347/O347),AD347*10*H347)))</f>
        <v/>
      </c>
      <c r="AJ347" s="28">
        <f>IF(O347="","",IF(S347="",IF(AI347="",0,AI347),S347)-IF(R347="",0,R347))</f>
        <v/>
      </c>
      <c r="AK347" s="18">
        <f>IF(C347="","",IF(OR(O347="",P347=""),"Open",IF(ABS(AJ347)&lt;=BEThreshold,"BE",IF(AJ347&gt;0,"Win","Loss"))))</f>
        <v/>
      </c>
      <c r="AL347" s="28">
        <f>IF(OR(C347="",AK347="Open"),"",InitialCapital+SUMIFS($AJ$2:AJ347,$AK$2:AK347,"&lt;&gt;Open"))</f>
        <v/>
      </c>
      <c r="AM347" s="18">
        <f>IF(OR(C347="",AK347=""),"",IF(AK347="Open","No","Yes"))</f>
        <v/>
      </c>
    </row>
    <row r="348" ht="18" customHeight="1">
      <c r="A348" s="18">
        <f>IF(C348="","",COUNTA($C$2:C348))</f>
        <v/>
      </c>
      <c r="B348" s="18">
        <f>IF(C348="","",TEXT(C348,"dddd"))</f>
        <v/>
      </c>
      <c r="C348" s="19" t="n"/>
      <c r="D348" s="20" t="n"/>
      <c r="E348" s="21" t="n"/>
      <c r="F348" s="21" t="n"/>
      <c r="G348" s="21" t="n"/>
      <c r="H348" s="22" t="n"/>
      <c r="I348" s="23" t="n"/>
      <c r="J348" s="22" t="n"/>
      <c r="K348" s="24" t="n"/>
      <c r="L348" s="24" t="n"/>
      <c r="M348" s="24" t="n"/>
      <c r="N348" s="21" t="n"/>
      <c r="O348" s="24" t="n"/>
      <c r="P348" s="19" t="n"/>
      <c r="Q348" s="20" t="n"/>
      <c r="R348" s="23" t="n"/>
      <c r="S348" s="23" t="n"/>
      <c r="T348" s="21" t="n"/>
      <c r="U348" s="21" t="n"/>
      <c r="V348" s="21" t="n"/>
      <c r="W348" s="21" t="n"/>
      <c r="X348" s="21" t="n"/>
      <c r="Y348" s="25">
        <f>IF($C348="","",IF(E348="XAUUSD",0.1,IF(ISNUMBER(SEARCH("JPY",E348)),0.01,0.0001)))</f>
        <v/>
      </c>
      <c r="Z348" s="18">
        <f>IF($C348="","",IF(F348="Sell",-1,1))</f>
        <v/>
      </c>
      <c r="AA348" s="18">
        <f>IF($C348="","",IF(E348="XAUUSD",100,100000))</f>
        <v/>
      </c>
      <c r="AB348" s="26">
        <f>IF(OR(K348="",L348=""),"",ABS(K348-L348)/Y348)</f>
        <v/>
      </c>
      <c r="AC348" s="26">
        <f>IF(OR(K348="",M348=""),"",ABS(M348-K348)/Y348)</f>
        <v/>
      </c>
      <c r="AD348" s="26">
        <f>IF(OR(K348="",O348=""),"",(O348-K348)*Z348/Y348)</f>
        <v/>
      </c>
      <c r="AE348" s="27">
        <f>IF(OR(AB348="",AB348=0,AC348=""),"",AC348/AB348)</f>
        <v/>
      </c>
      <c r="AF348" s="27">
        <f>IF(OR(AB348="",AB348=0,AD348=""),"",AD348/AB348)</f>
        <v/>
      </c>
      <c r="AG348" s="27">
        <f>IF(OR(C348="",P348=""),"",((P348+IF(Q348="",0,Q348))-(C348+IF(D348="",0,D348)))*24)</f>
        <v/>
      </c>
      <c r="AH348" s="18">
        <f>IF(AG348="","",INT(AG348/24)&amp;"d "&amp;INT(MOD(AG348,24))&amp;"h "&amp;INT(MOD(AG348*60,60))&amp;"m")</f>
        <v/>
      </c>
      <c r="AI348" s="28">
        <f>IF(OR(O348="",K348="",H348=""),"",IF(OR(E348="XAUUSD",RIGHT(E348,3)="USD"),(O348-K348)*Z348*AA348*H348,IF(LEFT(E348,3)="USD",IF(O348=0,"",(O348-K348)*Z348*AA348*H348/O348),AD348*10*H348)))</f>
        <v/>
      </c>
      <c r="AJ348" s="28">
        <f>IF(O348="","",IF(S348="",IF(AI348="",0,AI348),S348)-IF(R348="",0,R348))</f>
        <v/>
      </c>
      <c r="AK348" s="18">
        <f>IF(C348="","",IF(OR(O348="",P348=""),"Open",IF(ABS(AJ348)&lt;=BEThreshold,"BE",IF(AJ348&gt;0,"Win","Loss"))))</f>
        <v/>
      </c>
      <c r="AL348" s="28">
        <f>IF(OR(C348="",AK348="Open"),"",InitialCapital+SUMIFS($AJ$2:AJ348,$AK$2:AK348,"&lt;&gt;Open"))</f>
        <v/>
      </c>
      <c r="AM348" s="18">
        <f>IF(OR(C348="",AK348=""),"",IF(AK348="Open","No","Yes"))</f>
        <v/>
      </c>
    </row>
    <row r="349" ht="18" customHeight="1">
      <c r="A349" s="18">
        <f>IF(C349="","",COUNTA($C$2:C349))</f>
        <v/>
      </c>
      <c r="B349" s="18">
        <f>IF(C349="","",TEXT(C349,"dddd"))</f>
        <v/>
      </c>
      <c r="C349" s="19" t="n"/>
      <c r="D349" s="20" t="n"/>
      <c r="E349" s="21" t="n"/>
      <c r="F349" s="21" t="n"/>
      <c r="G349" s="21" t="n"/>
      <c r="H349" s="22" t="n"/>
      <c r="I349" s="23" t="n"/>
      <c r="J349" s="22" t="n"/>
      <c r="K349" s="24" t="n"/>
      <c r="L349" s="24" t="n"/>
      <c r="M349" s="24" t="n"/>
      <c r="N349" s="21" t="n"/>
      <c r="O349" s="24" t="n"/>
      <c r="P349" s="19" t="n"/>
      <c r="Q349" s="20" t="n"/>
      <c r="R349" s="23" t="n"/>
      <c r="S349" s="23" t="n"/>
      <c r="T349" s="21" t="n"/>
      <c r="U349" s="21" t="n"/>
      <c r="V349" s="21" t="n"/>
      <c r="W349" s="21" t="n"/>
      <c r="X349" s="21" t="n"/>
      <c r="Y349" s="25">
        <f>IF($C349="","",IF(E349="XAUUSD",0.1,IF(ISNUMBER(SEARCH("JPY",E349)),0.01,0.0001)))</f>
        <v/>
      </c>
      <c r="Z349" s="18">
        <f>IF($C349="","",IF(F349="Sell",-1,1))</f>
        <v/>
      </c>
      <c r="AA349" s="18">
        <f>IF($C349="","",IF(E349="XAUUSD",100,100000))</f>
        <v/>
      </c>
      <c r="AB349" s="26">
        <f>IF(OR(K349="",L349=""),"",ABS(K349-L349)/Y349)</f>
        <v/>
      </c>
      <c r="AC349" s="26">
        <f>IF(OR(K349="",M349=""),"",ABS(M349-K349)/Y349)</f>
        <v/>
      </c>
      <c r="AD349" s="26">
        <f>IF(OR(K349="",O349=""),"",(O349-K349)*Z349/Y349)</f>
        <v/>
      </c>
      <c r="AE349" s="27">
        <f>IF(OR(AB349="",AB349=0,AC349=""),"",AC349/AB349)</f>
        <v/>
      </c>
      <c r="AF349" s="27">
        <f>IF(OR(AB349="",AB349=0,AD349=""),"",AD349/AB349)</f>
        <v/>
      </c>
      <c r="AG349" s="27">
        <f>IF(OR(C349="",P349=""),"",((P349+IF(Q349="",0,Q349))-(C349+IF(D349="",0,D349)))*24)</f>
        <v/>
      </c>
      <c r="AH349" s="18">
        <f>IF(AG349="","",INT(AG349/24)&amp;"d "&amp;INT(MOD(AG349,24))&amp;"h "&amp;INT(MOD(AG349*60,60))&amp;"m")</f>
        <v/>
      </c>
      <c r="AI349" s="28">
        <f>IF(OR(O349="",K349="",H349=""),"",IF(OR(E349="XAUUSD",RIGHT(E349,3)="USD"),(O349-K349)*Z349*AA349*H349,IF(LEFT(E349,3)="USD",IF(O349=0,"",(O349-K349)*Z349*AA349*H349/O349),AD349*10*H349)))</f>
        <v/>
      </c>
      <c r="AJ349" s="28">
        <f>IF(O349="","",IF(S349="",IF(AI349="",0,AI349),S349)-IF(R349="",0,R349))</f>
        <v/>
      </c>
      <c r="AK349" s="18">
        <f>IF(C349="","",IF(OR(O349="",P349=""),"Open",IF(ABS(AJ349)&lt;=BEThreshold,"BE",IF(AJ349&gt;0,"Win","Loss"))))</f>
        <v/>
      </c>
      <c r="AL349" s="28">
        <f>IF(OR(C349="",AK349="Open"),"",InitialCapital+SUMIFS($AJ$2:AJ349,$AK$2:AK349,"&lt;&gt;Open"))</f>
        <v/>
      </c>
      <c r="AM349" s="18">
        <f>IF(OR(C349="",AK349=""),"",IF(AK349="Open","No","Yes"))</f>
        <v/>
      </c>
    </row>
    <row r="350" ht="18" customHeight="1">
      <c r="A350" s="18">
        <f>IF(C350="","",COUNTA($C$2:C350))</f>
        <v/>
      </c>
      <c r="B350" s="18">
        <f>IF(C350="","",TEXT(C350,"dddd"))</f>
        <v/>
      </c>
      <c r="C350" s="19" t="n"/>
      <c r="D350" s="20" t="n"/>
      <c r="E350" s="21" t="n"/>
      <c r="F350" s="21" t="n"/>
      <c r="G350" s="21" t="n"/>
      <c r="H350" s="22" t="n"/>
      <c r="I350" s="23" t="n"/>
      <c r="J350" s="22" t="n"/>
      <c r="K350" s="24" t="n"/>
      <c r="L350" s="24" t="n"/>
      <c r="M350" s="24" t="n"/>
      <c r="N350" s="21" t="n"/>
      <c r="O350" s="24" t="n"/>
      <c r="P350" s="19" t="n"/>
      <c r="Q350" s="20" t="n"/>
      <c r="R350" s="23" t="n"/>
      <c r="S350" s="23" t="n"/>
      <c r="T350" s="21" t="n"/>
      <c r="U350" s="21" t="n"/>
      <c r="V350" s="21" t="n"/>
      <c r="W350" s="21" t="n"/>
      <c r="X350" s="21" t="n"/>
      <c r="Y350" s="25">
        <f>IF($C350="","",IF(E350="XAUUSD",0.1,IF(ISNUMBER(SEARCH("JPY",E350)),0.01,0.0001)))</f>
        <v/>
      </c>
      <c r="Z350" s="18">
        <f>IF($C350="","",IF(F350="Sell",-1,1))</f>
        <v/>
      </c>
      <c r="AA350" s="18">
        <f>IF($C350="","",IF(E350="XAUUSD",100,100000))</f>
        <v/>
      </c>
      <c r="AB350" s="26">
        <f>IF(OR(K350="",L350=""),"",ABS(K350-L350)/Y350)</f>
        <v/>
      </c>
      <c r="AC350" s="26">
        <f>IF(OR(K350="",M350=""),"",ABS(M350-K350)/Y350)</f>
        <v/>
      </c>
      <c r="AD350" s="26">
        <f>IF(OR(K350="",O350=""),"",(O350-K350)*Z350/Y350)</f>
        <v/>
      </c>
      <c r="AE350" s="27">
        <f>IF(OR(AB350="",AB350=0,AC350=""),"",AC350/AB350)</f>
        <v/>
      </c>
      <c r="AF350" s="27">
        <f>IF(OR(AB350="",AB350=0,AD350=""),"",AD350/AB350)</f>
        <v/>
      </c>
      <c r="AG350" s="27">
        <f>IF(OR(C350="",P350=""),"",((P350+IF(Q350="",0,Q350))-(C350+IF(D350="",0,D350)))*24)</f>
        <v/>
      </c>
      <c r="AH350" s="18">
        <f>IF(AG350="","",INT(AG350/24)&amp;"d "&amp;INT(MOD(AG350,24))&amp;"h "&amp;INT(MOD(AG350*60,60))&amp;"m")</f>
        <v/>
      </c>
      <c r="AI350" s="28">
        <f>IF(OR(O350="",K350="",H350=""),"",IF(OR(E350="XAUUSD",RIGHT(E350,3)="USD"),(O350-K350)*Z350*AA350*H350,IF(LEFT(E350,3)="USD",IF(O350=0,"",(O350-K350)*Z350*AA350*H350/O350),AD350*10*H350)))</f>
        <v/>
      </c>
      <c r="AJ350" s="28">
        <f>IF(O350="","",IF(S350="",IF(AI350="",0,AI350),S350)-IF(R350="",0,R350))</f>
        <v/>
      </c>
      <c r="AK350" s="18">
        <f>IF(C350="","",IF(OR(O350="",P350=""),"Open",IF(ABS(AJ350)&lt;=BEThreshold,"BE",IF(AJ350&gt;0,"Win","Loss"))))</f>
        <v/>
      </c>
      <c r="AL350" s="28">
        <f>IF(OR(C350="",AK350="Open"),"",InitialCapital+SUMIFS($AJ$2:AJ350,$AK$2:AK350,"&lt;&gt;Open"))</f>
        <v/>
      </c>
      <c r="AM350" s="18">
        <f>IF(OR(C350="",AK350=""),"",IF(AK350="Open","No","Yes"))</f>
        <v/>
      </c>
    </row>
    <row r="351" ht="18" customHeight="1">
      <c r="A351" s="18">
        <f>IF(C351="","",COUNTA($C$2:C351))</f>
        <v/>
      </c>
      <c r="B351" s="18">
        <f>IF(C351="","",TEXT(C351,"dddd"))</f>
        <v/>
      </c>
      <c r="C351" s="19" t="n"/>
      <c r="D351" s="20" t="n"/>
      <c r="E351" s="21" t="n"/>
      <c r="F351" s="21" t="n"/>
      <c r="G351" s="21" t="n"/>
      <c r="H351" s="22" t="n"/>
      <c r="I351" s="23" t="n"/>
      <c r="J351" s="22" t="n"/>
      <c r="K351" s="24" t="n"/>
      <c r="L351" s="24" t="n"/>
      <c r="M351" s="24" t="n"/>
      <c r="N351" s="21" t="n"/>
      <c r="O351" s="24" t="n"/>
      <c r="P351" s="19" t="n"/>
      <c r="Q351" s="20" t="n"/>
      <c r="R351" s="23" t="n"/>
      <c r="S351" s="23" t="n"/>
      <c r="T351" s="21" t="n"/>
      <c r="U351" s="21" t="n"/>
      <c r="V351" s="21" t="n"/>
      <c r="W351" s="21" t="n"/>
      <c r="X351" s="21" t="n"/>
      <c r="Y351" s="25">
        <f>IF($C351="","",IF(E351="XAUUSD",0.1,IF(ISNUMBER(SEARCH("JPY",E351)),0.01,0.0001)))</f>
        <v/>
      </c>
      <c r="Z351" s="18">
        <f>IF($C351="","",IF(F351="Sell",-1,1))</f>
        <v/>
      </c>
      <c r="AA351" s="18">
        <f>IF($C351="","",IF(E351="XAUUSD",100,100000))</f>
        <v/>
      </c>
      <c r="AB351" s="26">
        <f>IF(OR(K351="",L351=""),"",ABS(K351-L351)/Y351)</f>
        <v/>
      </c>
      <c r="AC351" s="26">
        <f>IF(OR(K351="",M351=""),"",ABS(M351-K351)/Y351)</f>
        <v/>
      </c>
      <c r="AD351" s="26">
        <f>IF(OR(K351="",O351=""),"",(O351-K351)*Z351/Y351)</f>
        <v/>
      </c>
      <c r="AE351" s="27">
        <f>IF(OR(AB351="",AB351=0,AC351=""),"",AC351/AB351)</f>
        <v/>
      </c>
      <c r="AF351" s="27">
        <f>IF(OR(AB351="",AB351=0,AD351=""),"",AD351/AB351)</f>
        <v/>
      </c>
      <c r="AG351" s="27">
        <f>IF(OR(C351="",P351=""),"",((P351+IF(Q351="",0,Q351))-(C351+IF(D351="",0,D351)))*24)</f>
        <v/>
      </c>
      <c r="AH351" s="18">
        <f>IF(AG351="","",INT(AG351/24)&amp;"d "&amp;INT(MOD(AG351,24))&amp;"h "&amp;INT(MOD(AG351*60,60))&amp;"m")</f>
        <v/>
      </c>
      <c r="AI351" s="28">
        <f>IF(OR(O351="",K351="",H351=""),"",IF(OR(E351="XAUUSD",RIGHT(E351,3)="USD"),(O351-K351)*Z351*AA351*H351,IF(LEFT(E351,3)="USD",IF(O351=0,"",(O351-K351)*Z351*AA351*H351/O351),AD351*10*H351)))</f>
        <v/>
      </c>
      <c r="AJ351" s="28">
        <f>IF(O351="","",IF(S351="",IF(AI351="",0,AI351),S351)-IF(R351="",0,R351))</f>
        <v/>
      </c>
      <c r="AK351" s="18">
        <f>IF(C351="","",IF(OR(O351="",P351=""),"Open",IF(ABS(AJ351)&lt;=BEThreshold,"BE",IF(AJ351&gt;0,"Win","Loss"))))</f>
        <v/>
      </c>
      <c r="AL351" s="28">
        <f>IF(OR(C351="",AK351="Open"),"",InitialCapital+SUMIFS($AJ$2:AJ351,$AK$2:AK351,"&lt;&gt;Open"))</f>
        <v/>
      </c>
      <c r="AM351" s="18">
        <f>IF(OR(C351="",AK351=""),"",IF(AK351="Open","No","Yes"))</f>
        <v/>
      </c>
    </row>
    <row r="352" ht="18" customHeight="1">
      <c r="A352" s="18">
        <f>IF(C352="","",COUNTA($C$2:C352))</f>
        <v/>
      </c>
      <c r="B352" s="18">
        <f>IF(C352="","",TEXT(C352,"dddd"))</f>
        <v/>
      </c>
      <c r="C352" s="19" t="n"/>
      <c r="D352" s="20" t="n"/>
      <c r="E352" s="21" t="n"/>
      <c r="F352" s="21" t="n"/>
      <c r="G352" s="21" t="n"/>
      <c r="H352" s="22" t="n"/>
      <c r="I352" s="23" t="n"/>
      <c r="J352" s="22" t="n"/>
      <c r="K352" s="24" t="n"/>
      <c r="L352" s="24" t="n"/>
      <c r="M352" s="24" t="n"/>
      <c r="N352" s="21" t="n"/>
      <c r="O352" s="24" t="n"/>
      <c r="P352" s="19" t="n"/>
      <c r="Q352" s="20" t="n"/>
      <c r="R352" s="23" t="n"/>
      <c r="S352" s="23" t="n"/>
      <c r="T352" s="21" t="n"/>
      <c r="U352" s="21" t="n"/>
      <c r="V352" s="21" t="n"/>
      <c r="W352" s="21" t="n"/>
      <c r="X352" s="21" t="n"/>
      <c r="Y352" s="25">
        <f>IF($C352="","",IF(E352="XAUUSD",0.1,IF(ISNUMBER(SEARCH("JPY",E352)),0.01,0.0001)))</f>
        <v/>
      </c>
      <c r="Z352" s="18">
        <f>IF($C352="","",IF(F352="Sell",-1,1))</f>
        <v/>
      </c>
      <c r="AA352" s="18">
        <f>IF($C352="","",IF(E352="XAUUSD",100,100000))</f>
        <v/>
      </c>
      <c r="AB352" s="26">
        <f>IF(OR(K352="",L352=""),"",ABS(K352-L352)/Y352)</f>
        <v/>
      </c>
      <c r="AC352" s="26">
        <f>IF(OR(K352="",M352=""),"",ABS(M352-K352)/Y352)</f>
        <v/>
      </c>
      <c r="AD352" s="26">
        <f>IF(OR(K352="",O352=""),"",(O352-K352)*Z352/Y352)</f>
        <v/>
      </c>
      <c r="AE352" s="27">
        <f>IF(OR(AB352="",AB352=0,AC352=""),"",AC352/AB352)</f>
        <v/>
      </c>
      <c r="AF352" s="27">
        <f>IF(OR(AB352="",AB352=0,AD352=""),"",AD352/AB352)</f>
        <v/>
      </c>
      <c r="AG352" s="27">
        <f>IF(OR(C352="",P352=""),"",((P352+IF(Q352="",0,Q352))-(C352+IF(D352="",0,D352)))*24)</f>
        <v/>
      </c>
      <c r="AH352" s="18">
        <f>IF(AG352="","",INT(AG352/24)&amp;"d "&amp;INT(MOD(AG352,24))&amp;"h "&amp;INT(MOD(AG352*60,60))&amp;"m")</f>
        <v/>
      </c>
      <c r="AI352" s="28">
        <f>IF(OR(O352="",K352="",H352=""),"",IF(OR(E352="XAUUSD",RIGHT(E352,3)="USD"),(O352-K352)*Z352*AA352*H352,IF(LEFT(E352,3)="USD",IF(O352=0,"",(O352-K352)*Z352*AA352*H352/O352),AD352*10*H352)))</f>
        <v/>
      </c>
      <c r="AJ352" s="28">
        <f>IF(O352="","",IF(S352="",IF(AI352="",0,AI352),S352)-IF(R352="",0,R352))</f>
        <v/>
      </c>
      <c r="AK352" s="18">
        <f>IF(C352="","",IF(OR(O352="",P352=""),"Open",IF(ABS(AJ352)&lt;=BEThreshold,"BE",IF(AJ352&gt;0,"Win","Loss"))))</f>
        <v/>
      </c>
      <c r="AL352" s="28">
        <f>IF(OR(C352="",AK352="Open"),"",InitialCapital+SUMIFS($AJ$2:AJ352,$AK$2:AK352,"&lt;&gt;Open"))</f>
        <v/>
      </c>
      <c r="AM352" s="18">
        <f>IF(OR(C352="",AK352=""),"",IF(AK352="Open","No","Yes"))</f>
        <v/>
      </c>
    </row>
    <row r="353" ht="18" customHeight="1">
      <c r="A353" s="18">
        <f>IF(C353="","",COUNTA($C$2:C353))</f>
        <v/>
      </c>
      <c r="B353" s="18">
        <f>IF(C353="","",TEXT(C353,"dddd"))</f>
        <v/>
      </c>
      <c r="C353" s="19" t="n"/>
      <c r="D353" s="20" t="n"/>
      <c r="E353" s="21" t="n"/>
      <c r="F353" s="21" t="n"/>
      <c r="G353" s="21" t="n"/>
      <c r="H353" s="22" t="n"/>
      <c r="I353" s="23" t="n"/>
      <c r="J353" s="22" t="n"/>
      <c r="K353" s="24" t="n"/>
      <c r="L353" s="24" t="n"/>
      <c r="M353" s="24" t="n"/>
      <c r="N353" s="21" t="n"/>
      <c r="O353" s="24" t="n"/>
      <c r="P353" s="19" t="n"/>
      <c r="Q353" s="20" t="n"/>
      <c r="R353" s="23" t="n"/>
      <c r="S353" s="23" t="n"/>
      <c r="T353" s="21" t="n"/>
      <c r="U353" s="21" t="n"/>
      <c r="V353" s="21" t="n"/>
      <c r="W353" s="21" t="n"/>
      <c r="X353" s="21" t="n"/>
      <c r="Y353" s="25">
        <f>IF($C353="","",IF(E353="XAUUSD",0.1,IF(ISNUMBER(SEARCH("JPY",E353)),0.01,0.0001)))</f>
        <v/>
      </c>
      <c r="Z353" s="18">
        <f>IF($C353="","",IF(F353="Sell",-1,1))</f>
        <v/>
      </c>
      <c r="AA353" s="18">
        <f>IF($C353="","",IF(E353="XAUUSD",100,100000))</f>
        <v/>
      </c>
      <c r="AB353" s="26">
        <f>IF(OR(K353="",L353=""),"",ABS(K353-L353)/Y353)</f>
        <v/>
      </c>
      <c r="AC353" s="26">
        <f>IF(OR(K353="",M353=""),"",ABS(M353-K353)/Y353)</f>
        <v/>
      </c>
      <c r="AD353" s="26">
        <f>IF(OR(K353="",O353=""),"",(O353-K353)*Z353/Y353)</f>
        <v/>
      </c>
      <c r="AE353" s="27">
        <f>IF(OR(AB353="",AB353=0,AC353=""),"",AC353/AB353)</f>
        <v/>
      </c>
      <c r="AF353" s="27">
        <f>IF(OR(AB353="",AB353=0,AD353=""),"",AD353/AB353)</f>
        <v/>
      </c>
      <c r="AG353" s="27">
        <f>IF(OR(C353="",P353=""),"",((P353+IF(Q353="",0,Q353))-(C353+IF(D353="",0,D353)))*24)</f>
        <v/>
      </c>
      <c r="AH353" s="18">
        <f>IF(AG353="","",INT(AG353/24)&amp;"d "&amp;INT(MOD(AG353,24))&amp;"h "&amp;INT(MOD(AG353*60,60))&amp;"m")</f>
        <v/>
      </c>
      <c r="AI353" s="28">
        <f>IF(OR(O353="",K353="",H353=""),"",IF(OR(E353="XAUUSD",RIGHT(E353,3)="USD"),(O353-K353)*Z353*AA353*H353,IF(LEFT(E353,3)="USD",IF(O353=0,"",(O353-K353)*Z353*AA353*H353/O353),AD353*10*H353)))</f>
        <v/>
      </c>
      <c r="AJ353" s="28">
        <f>IF(O353="","",IF(S353="",IF(AI353="",0,AI353),S353)-IF(R353="",0,R353))</f>
        <v/>
      </c>
      <c r="AK353" s="18">
        <f>IF(C353="","",IF(OR(O353="",P353=""),"Open",IF(ABS(AJ353)&lt;=BEThreshold,"BE",IF(AJ353&gt;0,"Win","Loss"))))</f>
        <v/>
      </c>
      <c r="AL353" s="28">
        <f>IF(OR(C353="",AK353="Open"),"",InitialCapital+SUMIFS($AJ$2:AJ353,$AK$2:AK353,"&lt;&gt;Open"))</f>
        <v/>
      </c>
      <c r="AM353" s="18">
        <f>IF(OR(C353="",AK353=""),"",IF(AK353="Open","No","Yes"))</f>
        <v/>
      </c>
    </row>
    <row r="354" ht="18" customHeight="1">
      <c r="A354" s="18">
        <f>IF(C354="","",COUNTA($C$2:C354))</f>
        <v/>
      </c>
      <c r="B354" s="18">
        <f>IF(C354="","",TEXT(C354,"dddd"))</f>
        <v/>
      </c>
      <c r="C354" s="19" t="n"/>
      <c r="D354" s="20" t="n"/>
      <c r="E354" s="21" t="n"/>
      <c r="F354" s="21" t="n"/>
      <c r="G354" s="21" t="n"/>
      <c r="H354" s="22" t="n"/>
      <c r="I354" s="23" t="n"/>
      <c r="J354" s="22" t="n"/>
      <c r="K354" s="24" t="n"/>
      <c r="L354" s="24" t="n"/>
      <c r="M354" s="24" t="n"/>
      <c r="N354" s="21" t="n"/>
      <c r="O354" s="24" t="n"/>
      <c r="P354" s="19" t="n"/>
      <c r="Q354" s="20" t="n"/>
      <c r="R354" s="23" t="n"/>
      <c r="S354" s="23" t="n"/>
      <c r="T354" s="21" t="n"/>
      <c r="U354" s="21" t="n"/>
      <c r="V354" s="21" t="n"/>
      <c r="W354" s="21" t="n"/>
      <c r="X354" s="21" t="n"/>
      <c r="Y354" s="25">
        <f>IF($C354="","",IF(E354="XAUUSD",0.1,IF(ISNUMBER(SEARCH("JPY",E354)),0.01,0.0001)))</f>
        <v/>
      </c>
      <c r="Z354" s="18">
        <f>IF($C354="","",IF(F354="Sell",-1,1))</f>
        <v/>
      </c>
      <c r="AA354" s="18">
        <f>IF($C354="","",IF(E354="XAUUSD",100,100000))</f>
        <v/>
      </c>
      <c r="AB354" s="26">
        <f>IF(OR(K354="",L354=""),"",ABS(K354-L354)/Y354)</f>
        <v/>
      </c>
      <c r="AC354" s="26">
        <f>IF(OR(K354="",M354=""),"",ABS(M354-K354)/Y354)</f>
        <v/>
      </c>
      <c r="AD354" s="26">
        <f>IF(OR(K354="",O354=""),"",(O354-K354)*Z354/Y354)</f>
        <v/>
      </c>
      <c r="AE354" s="27">
        <f>IF(OR(AB354="",AB354=0,AC354=""),"",AC354/AB354)</f>
        <v/>
      </c>
      <c r="AF354" s="27">
        <f>IF(OR(AB354="",AB354=0,AD354=""),"",AD354/AB354)</f>
        <v/>
      </c>
      <c r="AG354" s="27">
        <f>IF(OR(C354="",P354=""),"",((P354+IF(Q354="",0,Q354))-(C354+IF(D354="",0,D354)))*24)</f>
        <v/>
      </c>
      <c r="AH354" s="18">
        <f>IF(AG354="","",INT(AG354/24)&amp;"d "&amp;INT(MOD(AG354,24))&amp;"h "&amp;INT(MOD(AG354*60,60))&amp;"m")</f>
        <v/>
      </c>
      <c r="AI354" s="28">
        <f>IF(OR(O354="",K354="",H354=""),"",IF(OR(E354="XAUUSD",RIGHT(E354,3)="USD"),(O354-K354)*Z354*AA354*H354,IF(LEFT(E354,3)="USD",IF(O354=0,"",(O354-K354)*Z354*AA354*H354/O354),AD354*10*H354)))</f>
        <v/>
      </c>
      <c r="AJ354" s="28">
        <f>IF(O354="","",IF(S354="",IF(AI354="",0,AI354),S354)-IF(R354="",0,R354))</f>
        <v/>
      </c>
      <c r="AK354" s="18">
        <f>IF(C354="","",IF(OR(O354="",P354=""),"Open",IF(ABS(AJ354)&lt;=BEThreshold,"BE",IF(AJ354&gt;0,"Win","Loss"))))</f>
        <v/>
      </c>
      <c r="AL354" s="28">
        <f>IF(OR(C354="",AK354="Open"),"",InitialCapital+SUMIFS($AJ$2:AJ354,$AK$2:AK354,"&lt;&gt;Open"))</f>
        <v/>
      </c>
      <c r="AM354" s="18">
        <f>IF(OR(C354="",AK354=""),"",IF(AK354="Open","No","Yes"))</f>
        <v/>
      </c>
    </row>
    <row r="355" ht="18" customHeight="1">
      <c r="A355" s="18">
        <f>IF(C355="","",COUNTA($C$2:C355))</f>
        <v/>
      </c>
      <c r="B355" s="18">
        <f>IF(C355="","",TEXT(C355,"dddd"))</f>
        <v/>
      </c>
      <c r="C355" s="19" t="n"/>
      <c r="D355" s="20" t="n"/>
      <c r="E355" s="21" t="n"/>
      <c r="F355" s="21" t="n"/>
      <c r="G355" s="21" t="n"/>
      <c r="H355" s="22" t="n"/>
      <c r="I355" s="23" t="n"/>
      <c r="J355" s="22" t="n"/>
      <c r="K355" s="24" t="n"/>
      <c r="L355" s="24" t="n"/>
      <c r="M355" s="24" t="n"/>
      <c r="N355" s="21" t="n"/>
      <c r="O355" s="24" t="n"/>
      <c r="P355" s="19" t="n"/>
      <c r="Q355" s="20" t="n"/>
      <c r="R355" s="23" t="n"/>
      <c r="S355" s="23" t="n"/>
      <c r="T355" s="21" t="n"/>
      <c r="U355" s="21" t="n"/>
      <c r="V355" s="21" t="n"/>
      <c r="W355" s="21" t="n"/>
      <c r="X355" s="21" t="n"/>
      <c r="Y355" s="25">
        <f>IF($C355="","",IF(E355="XAUUSD",0.1,IF(ISNUMBER(SEARCH("JPY",E355)),0.01,0.0001)))</f>
        <v/>
      </c>
      <c r="Z355" s="18">
        <f>IF($C355="","",IF(F355="Sell",-1,1))</f>
        <v/>
      </c>
      <c r="AA355" s="18">
        <f>IF($C355="","",IF(E355="XAUUSD",100,100000))</f>
        <v/>
      </c>
      <c r="AB355" s="26">
        <f>IF(OR(K355="",L355=""),"",ABS(K355-L355)/Y355)</f>
        <v/>
      </c>
      <c r="AC355" s="26">
        <f>IF(OR(K355="",M355=""),"",ABS(M355-K355)/Y355)</f>
        <v/>
      </c>
      <c r="AD355" s="26">
        <f>IF(OR(K355="",O355=""),"",(O355-K355)*Z355/Y355)</f>
        <v/>
      </c>
      <c r="AE355" s="27">
        <f>IF(OR(AB355="",AB355=0,AC355=""),"",AC355/AB355)</f>
        <v/>
      </c>
      <c r="AF355" s="27">
        <f>IF(OR(AB355="",AB355=0,AD355=""),"",AD355/AB355)</f>
        <v/>
      </c>
      <c r="AG355" s="27">
        <f>IF(OR(C355="",P355=""),"",((P355+IF(Q355="",0,Q355))-(C355+IF(D355="",0,D355)))*24)</f>
        <v/>
      </c>
      <c r="AH355" s="18">
        <f>IF(AG355="","",INT(AG355/24)&amp;"d "&amp;INT(MOD(AG355,24))&amp;"h "&amp;INT(MOD(AG355*60,60))&amp;"m")</f>
        <v/>
      </c>
      <c r="AI355" s="28">
        <f>IF(OR(O355="",K355="",H355=""),"",IF(OR(E355="XAUUSD",RIGHT(E355,3)="USD"),(O355-K355)*Z355*AA355*H355,IF(LEFT(E355,3)="USD",IF(O355=0,"",(O355-K355)*Z355*AA355*H355/O355),AD355*10*H355)))</f>
        <v/>
      </c>
      <c r="AJ355" s="28">
        <f>IF(O355="","",IF(S355="",IF(AI355="",0,AI355),S355)-IF(R355="",0,R355))</f>
        <v/>
      </c>
      <c r="AK355" s="18">
        <f>IF(C355="","",IF(OR(O355="",P355=""),"Open",IF(ABS(AJ355)&lt;=BEThreshold,"BE",IF(AJ355&gt;0,"Win","Loss"))))</f>
        <v/>
      </c>
      <c r="AL355" s="28">
        <f>IF(OR(C355="",AK355="Open"),"",InitialCapital+SUMIFS($AJ$2:AJ355,$AK$2:AK355,"&lt;&gt;Open"))</f>
        <v/>
      </c>
      <c r="AM355" s="18">
        <f>IF(OR(C355="",AK355=""),"",IF(AK355="Open","No","Yes"))</f>
        <v/>
      </c>
    </row>
    <row r="356" ht="18" customHeight="1">
      <c r="A356" s="18">
        <f>IF(C356="","",COUNTA($C$2:C356))</f>
        <v/>
      </c>
      <c r="B356" s="18">
        <f>IF(C356="","",TEXT(C356,"dddd"))</f>
        <v/>
      </c>
      <c r="C356" s="19" t="n"/>
      <c r="D356" s="20" t="n"/>
      <c r="E356" s="21" t="n"/>
      <c r="F356" s="21" t="n"/>
      <c r="G356" s="21" t="n"/>
      <c r="H356" s="22" t="n"/>
      <c r="I356" s="23" t="n"/>
      <c r="J356" s="22" t="n"/>
      <c r="K356" s="24" t="n"/>
      <c r="L356" s="24" t="n"/>
      <c r="M356" s="24" t="n"/>
      <c r="N356" s="21" t="n"/>
      <c r="O356" s="24" t="n"/>
      <c r="P356" s="19" t="n"/>
      <c r="Q356" s="20" t="n"/>
      <c r="R356" s="23" t="n"/>
      <c r="S356" s="23" t="n"/>
      <c r="T356" s="21" t="n"/>
      <c r="U356" s="21" t="n"/>
      <c r="V356" s="21" t="n"/>
      <c r="W356" s="21" t="n"/>
      <c r="X356" s="21" t="n"/>
      <c r="Y356" s="25">
        <f>IF($C356="","",IF(E356="XAUUSD",0.1,IF(ISNUMBER(SEARCH("JPY",E356)),0.01,0.0001)))</f>
        <v/>
      </c>
      <c r="Z356" s="18">
        <f>IF($C356="","",IF(F356="Sell",-1,1))</f>
        <v/>
      </c>
      <c r="AA356" s="18">
        <f>IF($C356="","",IF(E356="XAUUSD",100,100000))</f>
        <v/>
      </c>
      <c r="AB356" s="26">
        <f>IF(OR(K356="",L356=""),"",ABS(K356-L356)/Y356)</f>
        <v/>
      </c>
      <c r="AC356" s="26">
        <f>IF(OR(K356="",M356=""),"",ABS(M356-K356)/Y356)</f>
        <v/>
      </c>
      <c r="AD356" s="26">
        <f>IF(OR(K356="",O356=""),"",(O356-K356)*Z356/Y356)</f>
        <v/>
      </c>
      <c r="AE356" s="27">
        <f>IF(OR(AB356="",AB356=0,AC356=""),"",AC356/AB356)</f>
        <v/>
      </c>
      <c r="AF356" s="27">
        <f>IF(OR(AB356="",AB356=0,AD356=""),"",AD356/AB356)</f>
        <v/>
      </c>
      <c r="AG356" s="27">
        <f>IF(OR(C356="",P356=""),"",((P356+IF(Q356="",0,Q356))-(C356+IF(D356="",0,D356)))*24)</f>
        <v/>
      </c>
      <c r="AH356" s="18">
        <f>IF(AG356="","",INT(AG356/24)&amp;"d "&amp;INT(MOD(AG356,24))&amp;"h "&amp;INT(MOD(AG356*60,60))&amp;"m")</f>
        <v/>
      </c>
      <c r="AI356" s="28">
        <f>IF(OR(O356="",K356="",H356=""),"",IF(OR(E356="XAUUSD",RIGHT(E356,3)="USD"),(O356-K356)*Z356*AA356*H356,IF(LEFT(E356,3)="USD",IF(O356=0,"",(O356-K356)*Z356*AA356*H356/O356),AD356*10*H356)))</f>
        <v/>
      </c>
      <c r="AJ356" s="28">
        <f>IF(O356="","",IF(S356="",IF(AI356="",0,AI356),S356)-IF(R356="",0,R356))</f>
        <v/>
      </c>
      <c r="AK356" s="18">
        <f>IF(C356="","",IF(OR(O356="",P356=""),"Open",IF(ABS(AJ356)&lt;=BEThreshold,"BE",IF(AJ356&gt;0,"Win","Loss"))))</f>
        <v/>
      </c>
      <c r="AL356" s="28">
        <f>IF(OR(C356="",AK356="Open"),"",InitialCapital+SUMIFS($AJ$2:AJ356,$AK$2:AK356,"&lt;&gt;Open"))</f>
        <v/>
      </c>
      <c r="AM356" s="18">
        <f>IF(OR(C356="",AK356=""),"",IF(AK356="Open","No","Yes"))</f>
        <v/>
      </c>
    </row>
    <row r="357" ht="18" customHeight="1">
      <c r="A357" s="18">
        <f>IF(C357="","",COUNTA($C$2:C357))</f>
        <v/>
      </c>
      <c r="B357" s="18">
        <f>IF(C357="","",TEXT(C357,"dddd"))</f>
        <v/>
      </c>
      <c r="C357" s="19" t="n"/>
      <c r="D357" s="20" t="n"/>
      <c r="E357" s="21" t="n"/>
      <c r="F357" s="21" t="n"/>
      <c r="G357" s="21" t="n"/>
      <c r="H357" s="22" t="n"/>
      <c r="I357" s="23" t="n"/>
      <c r="J357" s="22" t="n"/>
      <c r="K357" s="24" t="n"/>
      <c r="L357" s="24" t="n"/>
      <c r="M357" s="24" t="n"/>
      <c r="N357" s="21" t="n"/>
      <c r="O357" s="24" t="n"/>
      <c r="P357" s="19" t="n"/>
      <c r="Q357" s="20" t="n"/>
      <c r="R357" s="23" t="n"/>
      <c r="S357" s="23" t="n"/>
      <c r="T357" s="21" t="n"/>
      <c r="U357" s="21" t="n"/>
      <c r="V357" s="21" t="n"/>
      <c r="W357" s="21" t="n"/>
      <c r="X357" s="21" t="n"/>
      <c r="Y357" s="25">
        <f>IF($C357="","",IF(E357="XAUUSD",0.1,IF(ISNUMBER(SEARCH("JPY",E357)),0.01,0.0001)))</f>
        <v/>
      </c>
      <c r="Z357" s="18">
        <f>IF($C357="","",IF(F357="Sell",-1,1))</f>
        <v/>
      </c>
      <c r="AA357" s="18">
        <f>IF($C357="","",IF(E357="XAUUSD",100,100000))</f>
        <v/>
      </c>
      <c r="AB357" s="26">
        <f>IF(OR(K357="",L357=""),"",ABS(K357-L357)/Y357)</f>
        <v/>
      </c>
      <c r="AC357" s="26">
        <f>IF(OR(K357="",M357=""),"",ABS(M357-K357)/Y357)</f>
        <v/>
      </c>
      <c r="AD357" s="26">
        <f>IF(OR(K357="",O357=""),"",(O357-K357)*Z357/Y357)</f>
        <v/>
      </c>
      <c r="AE357" s="27">
        <f>IF(OR(AB357="",AB357=0,AC357=""),"",AC357/AB357)</f>
        <v/>
      </c>
      <c r="AF357" s="27">
        <f>IF(OR(AB357="",AB357=0,AD357=""),"",AD357/AB357)</f>
        <v/>
      </c>
      <c r="AG357" s="27">
        <f>IF(OR(C357="",P357=""),"",((P357+IF(Q357="",0,Q357))-(C357+IF(D357="",0,D357)))*24)</f>
        <v/>
      </c>
      <c r="AH357" s="18">
        <f>IF(AG357="","",INT(AG357/24)&amp;"d "&amp;INT(MOD(AG357,24))&amp;"h "&amp;INT(MOD(AG357*60,60))&amp;"m")</f>
        <v/>
      </c>
      <c r="AI357" s="28">
        <f>IF(OR(O357="",K357="",H357=""),"",IF(OR(E357="XAUUSD",RIGHT(E357,3)="USD"),(O357-K357)*Z357*AA357*H357,IF(LEFT(E357,3)="USD",IF(O357=0,"",(O357-K357)*Z357*AA357*H357/O357),AD357*10*H357)))</f>
        <v/>
      </c>
      <c r="AJ357" s="28">
        <f>IF(O357="","",IF(S357="",IF(AI357="",0,AI357),S357)-IF(R357="",0,R357))</f>
        <v/>
      </c>
      <c r="AK357" s="18">
        <f>IF(C357="","",IF(OR(O357="",P357=""),"Open",IF(ABS(AJ357)&lt;=BEThreshold,"BE",IF(AJ357&gt;0,"Win","Loss"))))</f>
        <v/>
      </c>
      <c r="AL357" s="28">
        <f>IF(OR(C357="",AK357="Open"),"",InitialCapital+SUMIFS($AJ$2:AJ357,$AK$2:AK357,"&lt;&gt;Open"))</f>
        <v/>
      </c>
      <c r="AM357" s="18">
        <f>IF(OR(C357="",AK357=""),"",IF(AK357="Open","No","Yes"))</f>
        <v/>
      </c>
    </row>
    <row r="358" ht="18" customHeight="1">
      <c r="A358" s="18">
        <f>IF(C358="","",COUNTA($C$2:C358))</f>
        <v/>
      </c>
      <c r="B358" s="18">
        <f>IF(C358="","",TEXT(C358,"dddd"))</f>
        <v/>
      </c>
      <c r="C358" s="19" t="n"/>
      <c r="D358" s="20" t="n"/>
      <c r="E358" s="21" t="n"/>
      <c r="F358" s="21" t="n"/>
      <c r="G358" s="21" t="n"/>
      <c r="H358" s="22" t="n"/>
      <c r="I358" s="23" t="n"/>
      <c r="J358" s="22" t="n"/>
      <c r="K358" s="24" t="n"/>
      <c r="L358" s="24" t="n"/>
      <c r="M358" s="24" t="n"/>
      <c r="N358" s="21" t="n"/>
      <c r="O358" s="24" t="n"/>
      <c r="P358" s="19" t="n"/>
      <c r="Q358" s="20" t="n"/>
      <c r="R358" s="23" t="n"/>
      <c r="S358" s="23" t="n"/>
      <c r="T358" s="21" t="n"/>
      <c r="U358" s="21" t="n"/>
      <c r="V358" s="21" t="n"/>
      <c r="W358" s="21" t="n"/>
      <c r="X358" s="21" t="n"/>
      <c r="Y358" s="25">
        <f>IF($C358="","",IF(E358="XAUUSD",0.1,IF(ISNUMBER(SEARCH("JPY",E358)),0.01,0.0001)))</f>
        <v/>
      </c>
      <c r="Z358" s="18">
        <f>IF($C358="","",IF(F358="Sell",-1,1))</f>
        <v/>
      </c>
      <c r="AA358" s="18">
        <f>IF($C358="","",IF(E358="XAUUSD",100,100000))</f>
        <v/>
      </c>
      <c r="AB358" s="26">
        <f>IF(OR(K358="",L358=""),"",ABS(K358-L358)/Y358)</f>
        <v/>
      </c>
      <c r="AC358" s="26">
        <f>IF(OR(K358="",M358=""),"",ABS(M358-K358)/Y358)</f>
        <v/>
      </c>
      <c r="AD358" s="26">
        <f>IF(OR(K358="",O358=""),"",(O358-K358)*Z358/Y358)</f>
        <v/>
      </c>
      <c r="AE358" s="27">
        <f>IF(OR(AB358="",AB358=0,AC358=""),"",AC358/AB358)</f>
        <v/>
      </c>
      <c r="AF358" s="27">
        <f>IF(OR(AB358="",AB358=0,AD358=""),"",AD358/AB358)</f>
        <v/>
      </c>
      <c r="AG358" s="27">
        <f>IF(OR(C358="",P358=""),"",((P358+IF(Q358="",0,Q358))-(C358+IF(D358="",0,D358)))*24)</f>
        <v/>
      </c>
      <c r="AH358" s="18">
        <f>IF(AG358="","",INT(AG358/24)&amp;"d "&amp;INT(MOD(AG358,24))&amp;"h "&amp;INT(MOD(AG358*60,60))&amp;"m")</f>
        <v/>
      </c>
      <c r="AI358" s="28">
        <f>IF(OR(O358="",K358="",H358=""),"",IF(OR(E358="XAUUSD",RIGHT(E358,3)="USD"),(O358-K358)*Z358*AA358*H358,IF(LEFT(E358,3)="USD",IF(O358=0,"",(O358-K358)*Z358*AA358*H358/O358),AD358*10*H358)))</f>
        <v/>
      </c>
      <c r="AJ358" s="28">
        <f>IF(O358="","",IF(S358="",IF(AI358="",0,AI358),S358)-IF(R358="",0,R358))</f>
        <v/>
      </c>
      <c r="AK358" s="18">
        <f>IF(C358="","",IF(OR(O358="",P358=""),"Open",IF(ABS(AJ358)&lt;=BEThreshold,"BE",IF(AJ358&gt;0,"Win","Loss"))))</f>
        <v/>
      </c>
      <c r="AL358" s="28">
        <f>IF(OR(C358="",AK358="Open"),"",InitialCapital+SUMIFS($AJ$2:AJ358,$AK$2:AK358,"&lt;&gt;Open"))</f>
        <v/>
      </c>
      <c r="AM358" s="18">
        <f>IF(OR(C358="",AK358=""),"",IF(AK358="Open","No","Yes"))</f>
        <v/>
      </c>
    </row>
    <row r="359" ht="18" customHeight="1">
      <c r="A359" s="18">
        <f>IF(C359="","",COUNTA($C$2:C359))</f>
        <v/>
      </c>
      <c r="B359" s="18">
        <f>IF(C359="","",TEXT(C359,"dddd"))</f>
        <v/>
      </c>
      <c r="C359" s="19" t="n"/>
      <c r="D359" s="20" t="n"/>
      <c r="E359" s="21" t="n"/>
      <c r="F359" s="21" t="n"/>
      <c r="G359" s="21" t="n"/>
      <c r="H359" s="22" t="n"/>
      <c r="I359" s="23" t="n"/>
      <c r="J359" s="22" t="n"/>
      <c r="K359" s="24" t="n"/>
      <c r="L359" s="24" t="n"/>
      <c r="M359" s="24" t="n"/>
      <c r="N359" s="21" t="n"/>
      <c r="O359" s="24" t="n"/>
      <c r="P359" s="19" t="n"/>
      <c r="Q359" s="20" t="n"/>
      <c r="R359" s="23" t="n"/>
      <c r="S359" s="23" t="n"/>
      <c r="T359" s="21" t="n"/>
      <c r="U359" s="21" t="n"/>
      <c r="V359" s="21" t="n"/>
      <c r="W359" s="21" t="n"/>
      <c r="X359" s="21" t="n"/>
      <c r="Y359" s="25">
        <f>IF($C359="","",IF(E359="XAUUSD",0.1,IF(ISNUMBER(SEARCH("JPY",E359)),0.01,0.0001)))</f>
        <v/>
      </c>
      <c r="Z359" s="18">
        <f>IF($C359="","",IF(F359="Sell",-1,1))</f>
        <v/>
      </c>
      <c r="AA359" s="18">
        <f>IF($C359="","",IF(E359="XAUUSD",100,100000))</f>
        <v/>
      </c>
      <c r="AB359" s="26">
        <f>IF(OR(K359="",L359=""),"",ABS(K359-L359)/Y359)</f>
        <v/>
      </c>
      <c r="AC359" s="26">
        <f>IF(OR(K359="",M359=""),"",ABS(M359-K359)/Y359)</f>
        <v/>
      </c>
      <c r="AD359" s="26">
        <f>IF(OR(K359="",O359=""),"",(O359-K359)*Z359/Y359)</f>
        <v/>
      </c>
      <c r="AE359" s="27">
        <f>IF(OR(AB359="",AB359=0,AC359=""),"",AC359/AB359)</f>
        <v/>
      </c>
      <c r="AF359" s="27">
        <f>IF(OR(AB359="",AB359=0,AD359=""),"",AD359/AB359)</f>
        <v/>
      </c>
      <c r="AG359" s="27">
        <f>IF(OR(C359="",P359=""),"",((P359+IF(Q359="",0,Q359))-(C359+IF(D359="",0,D359)))*24)</f>
        <v/>
      </c>
      <c r="AH359" s="18">
        <f>IF(AG359="","",INT(AG359/24)&amp;"d "&amp;INT(MOD(AG359,24))&amp;"h "&amp;INT(MOD(AG359*60,60))&amp;"m")</f>
        <v/>
      </c>
      <c r="AI359" s="28">
        <f>IF(OR(O359="",K359="",H359=""),"",IF(OR(E359="XAUUSD",RIGHT(E359,3)="USD"),(O359-K359)*Z359*AA359*H359,IF(LEFT(E359,3)="USD",IF(O359=0,"",(O359-K359)*Z359*AA359*H359/O359),AD359*10*H359)))</f>
        <v/>
      </c>
      <c r="AJ359" s="28">
        <f>IF(O359="","",IF(S359="",IF(AI359="",0,AI359),S359)-IF(R359="",0,R359))</f>
        <v/>
      </c>
      <c r="AK359" s="18">
        <f>IF(C359="","",IF(OR(O359="",P359=""),"Open",IF(ABS(AJ359)&lt;=BEThreshold,"BE",IF(AJ359&gt;0,"Win","Loss"))))</f>
        <v/>
      </c>
      <c r="AL359" s="28">
        <f>IF(OR(C359="",AK359="Open"),"",InitialCapital+SUMIFS($AJ$2:AJ359,$AK$2:AK359,"&lt;&gt;Open"))</f>
        <v/>
      </c>
      <c r="AM359" s="18">
        <f>IF(OR(C359="",AK359=""),"",IF(AK359="Open","No","Yes"))</f>
        <v/>
      </c>
    </row>
    <row r="360" ht="18" customHeight="1">
      <c r="A360" s="18">
        <f>IF(C360="","",COUNTA($C$2:C360))</f>
        <v/>
      </c>
      <c r="B360" s="18">
        <f>IF(C360="","",TEXT(C360,"dddd"))</f>
        <v/>
      </c>
      <c r="C360" s="19" t="n"/>
      <c r="D360" s="20" t="n"/>
      <c r="E360" s="21" t="n"/>
      <c r="F360" s="21" t="n"/>
      <c r="G360" s="21" t="n"/>
      <c r="H360" s="22" t="n"/>
      <c r="I360" s="23" t="n"/>
      <c r="J360" s="22" t="n"/>
      <c r="K360" s="24" t="n"/>
      <c r="L360" s="24" t="n"/>
      <c r="M360" s="24" t="n"/>
      <c r="N360" s="21" t="n"/>
      <c r="O360" s="24" t="n"/>
      <c r="P360" s="19" t="n"/>
      <c r="Q360" s="20" t="n"/>
      <c r="R360" s="23" t="n"/>
      <c r="S360" s="23" t="n"/>
      <c r="T360" s="21" t="n"/>
      <c r="U360" s="21" t="n"/>
      <c r="V360" s="21" t="n"/>
      <c r="W360" s="21" t="n"/>
      <c r="X360" s="21" t="n"/>
      <c r="Y360" s="25">
        <f>IF($C360="","",IF(E360="XAUUSD",0.1,IF(ISNUMBER(SEARCH("JPY",E360)),0.01,0.0001)))</f>
        <v/>
      </c>
      <c r="Z360" s="18">
        <f>IF($C360="","",IF(F360="Sell",-1,1))</f>
        <v/>
      </c>
      <c r="AA360" s="18">
        <f>IF($C360="","",IF(E360="XAUUSD",100,100000))</f>
        <v/>
      </c>
      <c r="AB360" s="26">
        <f>IF(OR(K360="",L360=""),"",ABS(K360-L360)/Y360)</f>
        <v/>
      </c>
      <c r="AC360" s="26">
        <f>IF(OR(K360="",M360=""),"",ABS(M360-K360)/Y360)</f>
        <v/>
      </c>
      <c r="AD360" s="26">
        <f>IF(OR(K360="",O360=""),"",(O360-K360)*Z360/Y360)</f>
        <v/>
      </c>
      <c r="AE360" s="27">
        <f>IF(OR(AB360="",AB360=0,AC360=""),"",AC360/AB360)</f>
        <v/>
      </c>
      <c r="AF360" s="27">
        <f>IF(OR(AB360="",AB360=0,AD360=""),"",AD360/AB360)</f>
        <v/>
      </c>
      <c r="AG360" s="27">
        <f>IF(OR(C360="",P360=""),"",((P360+IF(Q360="",0,Q360))-(C360+IF(D360="",0,D360)))*24)</f>
        <v/>
      </c>
      <c r="AH360" s="18">
        <f>IF(AG360="","",INT(AG360/24)&amp;"d "&amp;INT(MOD(AG360,24))&amp;"h "&amp;INT(MOD(AG360*60,60))&amp;"m")</f>
        <v/>
      </c>
      <c r="AI360" s="28">
        <f>IF(OR(O360="",K360="",H360=""),"",IF(OR(E360="XAUUSD",RIGHT(E360,3)="USD"),(O360-K360)*Z360*AA360*H360,IF(LEFT(E360,3)="USD",IF(O360=0,"",(O360-K360)*Z360*AA360*H360/O360),AD360*10*H360)))</f>
        <v/>
      </c>
      <c r="AJ360" s="28">
        <f>IF(O360="","",IF(S360="",IF(AI360="",0,AI360),S360)-IF(R360="",0,R360))</f>
        <v/>
      </c>
      <c r="AK360" s="18">
        <f>IF(C360="","",IF(OR(O360="",P360=""),"Open",IF(ABS(AJ360)&lt;=BEThreshold,"BE",IF(AJ360&gt;0,"Win","Loss"))))</f>
        <v/>
      </c>
      <c r="AL360" s="28">
        <f>IF(OR(C360="",AK360="Open"),"",InitialCapital+SUMIFS($AJ$2:AJ360,$AK$2:AK360,"&lt;&gt;Open"))</f>
        <v/>
      </c>
      <c r="AM360" s="18">
        <f>IF(OR(C360="",AK360=""),"",IF(AK360="Open","No","Yes"))</f>
        <v/>
      </c>
    </row>
    <row r="361" ht="18" customHeight="1">
      <c r="A361" s="18">
        <f>IF(C361="","",COUNTA($C$2:C361))</f>
        <v/>
      </c>
      <c r="B361" s="18">
        <f>IF(C361="","",TEXT(C361,"dddd"))</f>
        <v/>
      </c>
      <c r="C361" s="19" t="n"/>
      <c r="D361" s="20" t="n"/>
      <c r="E361" s="21" t="n"/>
      <c r="F361" s="21" t="n"/>
      <c r="G361" s="21" t="n"/>
      <c r="H361" s="22" t="n"/>
      <c r="I361" s="23" t="n"/>
      <c r="J361" s="22" t="n"/>
      <c r="K361" s="24" t="n"/>
      <c r="L361" s="24" t="n"/>
      <c r="M361" s="24" t="n"/>
      <c r="N361" s="21" t="n"/>
      <c r="O361" s="24" t="n"/>
      <c r="P361" s="19" t="n"/>
      <c r="Q361" s="20" t="n"/>
      <c r="R361" s="23" t="n"/>
      <c r="S361" s="23" t="n"/>
      <c r="T361" s="21" t="n"/>
      <c r="U361" s="21" t="n"/>
      <c r="V361" s="21" t="n"/>
      <c r="W361" s="21" t="n"/>
      <c r="X361" s="21" t="n"/>
      <c r="Y361" s="25">
        <f>IF($C361="","",IF(E361="XAUUSD",0.1,IF(ISNUMBER(SEARCH("JPY",E361)),0.01,0.0001)))</f>
        <v/>
      </c>
      <c r="Z361" s="18">
        <f>IF($C361="","",IF(F361="Sell",-1,1))</f>
        <v/>
      </c>
      <c r="AA361" s="18">
        <f>IF($C361="","",IF(E361="XAUUSD",100,100000))</f>
        <v/>
      </c>
      <c r="AB361" s="26">
        <f>IF(OR(K361="",L361=""),"",ABS(K361-L361)/Y361)</f>
        <v/>
      </c>
      <c r="AC361" s="26">
        <f>IF(OR(K361="",M361=""),"",ABS(M361-K361)/Y361)</f>
        <v/>
      </c>
      <c r="AD361" s="26">
        <f>IF(OR(K361="",O361=""),"",(O361-K361)*Z361/Y361)</f>
        <v/>
      </c>
      <c r="AE361" s="27">
        <f>IF(OR(AB361="",AB361=0,AC361=""),"",AC361/AB361)</f>
        <v/>
      </c>
      <c r="AF361" s="27">
        <f>IF(OR(AB361="",AB361=0,AD361=""),"",AD361/AB361)</f>
        <v/>
      </c>
      <c r="AG361" s="27">
        <f>IF(OR(C361="",P361=""),"",((P361+IF(Q361="",0,Q361))-(C361+IF(D361="",0,D361)))*24)</f>
        <v/>
      </c>
      <c r="AH361" s="18">
        <f>IF(AG361="","",INT(AG361/24)&amp;"d "&amp;INT(MOD(AG361,24))&amp;"h "&amp;INT(MOD(AG361*60,60))&amp;"m")</f>
        <v/>
      </c>
      <c r="AI361" s="28">
        <f>IF(OR(O361="",K361="",H361=""),"",IF(OR(E361="XAUUSD",RIGHT(E361,3)="USD"),(O361-K361)*Z361*AA361*H361,IF(LEFT(E361,3)="USD",IF(O361=0,"",(O361-K361)*Z361*AA361*H361/O361),AD361*10*H361)))</f>
        <v/>
      </c>
      <c r="AJ361" s="28">
        <f>IF(O361="","",IF(S361="",IF(AI361="",0,AI361),S361)-IF(R361="",0,R361))</f>
        <v/>
      </c>
      <c r="AK361" s="18">
        <f>IF(C361="","",IF(OR(O361="",P361=""),"Open",IF(ABS(AJ361)&lt;=BEThreshold,"BE",IF(AJ361&gt;0,"Win","Loss"))))</f>
        <v/>
      </c>
      <c r="AL361" s="28">
        <f>IF(OR(C361="",AK361="Open"),"",InitialCapital+SUMIFS($AJ$2:AJ361,$AK$2:AK361,"&lt;&gt;Open"))</f>
        <v/>
      </c>
      <c r="AM361" s="18">
        <f>IF(OR(C361="",AK361=""),"",IF(AK361="Open","No","Yes"))</f>
        <v/>
      </c>
    </row>
    <row r="362" ht="18" customHeight="1">
      <c r="A362" s="18">
        <f>IF(C362="","",COUNTA($C$2:C362))</f>
        <v/>
      </c>
      <c r="B362" s="18">
        <f>IF(C362="","",TEXT(C362,"dddd"))</f>
        <v/>
      </c>
      <c r="C362" s="19" t="n"/>
      <c r="D362" s="20" t="n"/>
      <c r="E362" s="21" t="n"/>
      <c r="F362" s="21" t="n"/>
      <c r="G362" s="21" t="n"/>
      <c r="H362" s="22" t="n"/>
      <c r="I362" s="23" t="n"/>
      <c r="J362" s="22" t="n"/>
      <c r="K362" s="24" t="n"/>
      <c r="L362" s="24" t="n"/>
      <c r="M362" s="24" t="n"/>
      <c r="N362" s="21" t="n"/>
      <c r="O362" s="24" t="n"/>
      <c r="P362" s="19" t="n"/>
      <c r="Q362" s="20" t="n"/>
      <c r="R362" s="23" t="n"/>
      <c r="S362" s="23" t="n"/>
      <c r="T362" s="21" t="n"/>
      <c r="U362" s="21" t="n"/>
      <c r="V362" s="21" t="n"/>
      <c r="W362" s="21" t="n"/>
      <c r="X362" s="21" t="n"/>
      <c r="Y362" s="25">
        <f>IF($C362="","",IF(E362="XAUUSD",0.1,IF(ISNUMBER(SEARCH("JPY",E362)),0.01,0.0001)))</f>
        <v/>
      </c>
      <c r="Z362" s="18">
        <f>IF($C362="","",IF(F362="Sell",-1,1))</f>
        <v/>
      </c>
      <c r="AA362" s="18">
        <f>IF($C362="","",IF(E362="XAUUSD",100,100000))</f>
        <v/>
      </c>
      <c r="AB362" s="26">
        <f>IF(OR(K362="",L362=""),"",ABS(K362-L362)/Y362)</f>
        <v/>
      </c>
      <c r="AC362" s="26">
        <f>IF(OR(K362="",M362=""),"",ABS(M362-K362)/Y362)</f>
        <v/>
      </c>
      <c r="AD362" s="26">
        <f>IF(OR(K362="",O362=""),"",(O362-K362)*Z362/Y362)</f>
        <v/>
      </c>
      <c r="AE362" s="27">
        <f>IF(OR(AB362="",AB362=0,AC362=""),"",AC362/AB362)</f>
        <v/>
      </c>
      <c r="AF362" s="27">
        <f>IF(OR(AB362="",AB362=0,AD362=""),"",AD362/AB362)</f>
        <v/>
      </c>
      <c r="AG362" s="27">
        <f>IF(OR(C362="",P362=""),"",((P362+IF(Q362="",0,Q362))-(C362+IF(D362="",0,D362)))*24)</f>
        <v/>
      </c>
      <c r="AH362" s="18">
        <f>IF(AG362="","",INT(AG362/24)&amp;"d "&amp;INT(MOD(AG362,24))&amp;"h "&amp;INT(MOD(AG362*60,60))&amp;"m")</f>
        <v/>
      </c>
      <c r="AI362" s="28">
        <f>IF(OR(O362="",K362="",H362=""),"",IF(OR(E362="XAUUSD",RIGHT(E362,3)="USD"),(O362-K362)*Z362*AA362*H362,IF(LEFT(E362,3)="USD",IF(O362=0,"",(O362-K362)*Z362*AA362*H362/O362),AD362*10*H362)))</f>
        <v/>
      </c>
      <c r="AJ362" s="28">
        <f>IF(O362="","",IF(S362="",IF(AI362="",0,AI362),S362)-IF(R362="",0,R362))</f>
        <v/>
      </c>
      <c r="AK362" s="18">
        <f>IF(C362="","",IF(OR(O362="",P362=""),"Open",IF(ABS(AJ362)&lt;=BEThreshold,"BE",IF(AJ362&gt;0,"Win","Loss"))))</f>
        <v/>
      </c>
      <c r="AL362" s="28">
        <f>IF(OR(C362="",AK362="Open"),"",InitialCapital+SUMIFS($AJ$2:AJ362,$AK$2:AK362,"&lt;&gt;Open"))</f>
        <v/>
      </c>
      <c r="AM362" s="18">
        <f>IF(OR(C362="",AK362=""),"",IF(AK362="Open","No","Yes"))</f>
        <v/>
      </c>
    </row>
    <row r="363" ht="18" customHeight="1">
      <c r="A363" s="18">
        <f>IF(C363="","",COUNTA($C$2:C363))</f>
        <v/>
      </c>
      <c r="B363" s="18">
        <f>IF(C363="","",TEXT(C363,"dddd"))</f>
        <v/>
      </c>
      <c r="C363" s="19" t="n"/>
      <c r="D363" s="20" t="n"/>
      <c r="E363" s="21" t="n"/>
      <c r="F363" s="21" t="n"/>
      <c r="G363" s="21" t="n"/>
      <c r="H363" s="22" t="n"/>
      <c r="I363" s="23" t="n"/>
      <c r="J363" s="22" t="n"/>
      <c r="K363" s="24" t="n"/>
      <c r="L363" s="24" t="n"/>
      <c r="M363" s="24" t="n"/>
      <c r="N363" s="21" t="n"/>
      <c r="O363" s="24" t="n"/>
      <c r="P363" s="19" t="n"/>
      <c r="Q363" s="20" t="n"/>
      <c r="R363" s="23" t="n"/>
      <c r="S363" s="23" t="n"/>
      <c r="T363" s="21" t="n"/>
      <c r="U363" s="21" t="n"/>
      <c r="V363" s="21" t="n"/>
      <c r="W363" s="21" t="n"/>
      <c r="X363" s="21" t="n"/>
      <c r="Y363" s="25">
        <f>IF($C363="","",IF(E363="XAUUSD",0.1,IF(ISNUMBER(SEARCH("JPY",E363)),0.01,0.0001)))</f>
        <v/>
      </c>
      <c r="Z363" s="18">
        <f>IF($C363="","",IF(F363="Sell",-1,1))</f>
        <v/>
      </c>
      <c r="AA363" s="18">
        <f>IF($C363="","",IF(E363="XAUUSD",100,100000))</f>
        <v/>
      </c>
      <c r="AB363" s="26">
        <f>IF(OR(K363="",L363=""),"",ABS(K363-L363)/Y363)</f>
        <v/>
      </c>
      <c r="AC363" s="26">
        <f>IF(OR(K363="",M363=""),"",ABS(M363-K363)/Y363)</f>
        <v/>
      </c>
      <c r="AD363" s="26">
        <f>IF(OR(K363="",O363=""),"",(O363-K363)*Z363/Y363)</f>
        <v/>
      </c>
      <c r="AE363" s="27">
        <f>IF(OR(AB363="",AB363=0,AC363=""),"",AC363/AB363)</f>
        <v/>
      </c>
      <c r="AF363" s="27">
        <f>IF(OR(AB363="",AB363=0,AD363=""),"",AD363/AB363)</f>
        <v/>
      </c>
      <c r="AG363" s="27">
        <f>IF(OR(C363="",P363=""),"",((P363+IF(Q363="",0,Q363))-(C363+IF(D363="",0,D363)))*24)</f>
        <v/>
      </c>
      <c r="AH363" s="18">
        <f>IF(AG363="","",INT(AG363/24)&amp;"d "&amp;INT(MOD(AG363,24))&amp;"h "&amp;INT(MOD(AG363*60,60))&amp;"m")</f>
        <v/>
      </c>
      <c r="AI363" s="28">
        <f>IF(OR(O363="",K363="",H363=""),"",IF(OR(E363="XAUUSD",RIGHT(E363,3)="USD"),(O363-K363)*Z363*AA363*H363,IF(LEFT(E363,3)="USD",IF(O363=0,"",(O363-K363)*Z363*AA363*H363/O363),AD363*10*H363)))</f>
        <v/>
      </c>
      <c r="AJ363" s="28">
        <f>IF(O363="","",IF(S363="",IF(AI363="",0,AI363),S363)-IF(R363="",0,R363))</f>
        <v/>
      </c>
      <c r="AK363" s="18">
        <f>IF(C363="","",IF(OR(O363="",P363=""),"Open",IF(ABS(AJ363)&lt;=BEThreshold,"BE",IF(AJ363&gt;0,"Win","Loss"))))</f>
        <v/>
      </c>
      <c r="AL363" s="28">
        <f>IF(OR(C363="",AK363="Open"),"",InitialCapital+SUMIFS($AJ$2:AJ363,$AK$2:AK363,"&lt;&gt;Open"))</f>
        <v/>
      </c>
      <c r="AM363" s="18">
        <f>IF(OR(C363="",AK363=""),"",IF(AK363="Open","No","Yes"))</f>
        <v/>
      </c>
    </row>
    <row r="364" ht="18" customHeight="1">
      <c r="A364" s="18">
        <f>IF(C364="","",COUNTA($C$2:C364))</f>
        <v/>
      </c>
      <c r="B364" s="18">
        <f>IF(C364="","",TEXT(C364,"dddd"))</f>
        <v/>
      </c>
      <c r="C364" s="19" t="n"/>
      <c r="D364" s="20" t="n"/>
      <c r="E364" s="21" t="n"/>
      <c r="F364" s="21" t="n"/>
      <c r="G364" s="21" t="n"/>
      <c r="H364" s="22" t="n"/>
      <c r="I364" s="23" t="n"/>
      <c r="J364" s="22" t="n"/>
      <c r="K364" s="24" t="n"/>
      <c r="L364" s="24" t="n"/>
      <c r="M364" s="24" t="n"/>
      <c r="N364" s="21" t="n"/>
      <c r="O364" s="24" t="n"/>
      <c r="P364" s="19" t="n"/>
      <c r="Q364" s="20" t="n"/>
      <c r="R364" s="23" t="n"/>
      <c r="S364" s="23" t="n"/>
      <c r="T364" s="21" t="n"/>
      <c r="U364" s="21" t="n"/>
      <c r="V364" s="21" t="n"/>
      <c r="W364" s="21" t="n"/>
      <c r="X364" s="21" t="n"/>
      <c r="Y364" s="25">
        <f>IF($C364="","",IF(E364="XAUUSD",0.1,IF(ISNUMBER(SEARCH("JPY",E364)),0.01,0.0001)))</f>
        <v/>
      </c>
      <c r="Z364" s="18">
        <f>IF($C364="","",IF(F364="Sell",-1,1))</f>
        <v/>
      </c>
      <c r="AA364" s="18">
        <f>IF($C364="","",IF(E364="XAUUSD",100,100000))</f>
        <v/>
      </c>
      <c r="AB364" s="26">
        <f>IF(OR(K364="",L364=""),"",ABS(K364-L364)/Y364)</f>
        <v/>
      </c>
      <c r="AC364" s="26">
        <f>IF(OR(K364="",M364=""),"",ABS(M364-K364)/Y364)</f>
        <v/>
      </c>
      <c r="AD364" s="26">
        <f>IF(OR(K364="",O364=""),"",(O364-K364)*Z364/Y364)</f>
        <v/>
      </c>
      <c r="AE364" s="27">
        <f>IF(OR(AB364="",AB364=0,AC364=""),"",AC364/AB364)</f>
        <v/>
      </c>
      <c r="AF364" s="27">
        <f>IF(OR(AB364="",AB364=0,AD364=""),"",AD364/AB364)</f>
        <v/>
      </c>
      <c r="AG364" s="27">
        <f>IF(OR(C364="",P364=""),"",((P364+IF(Q364="",0,Q364))-(C364+IF(D364="",0,D364)))*24)</f>
        <v/>
      </c>
      <c r="AH364" s="18">
        <f>IF(AG364="","",INT(AG364/24)&amp;"d "&amp;INT(MOD(AG364,24))&amp;"h "&amp;INT(MOD(AG364*60,60))&amp;"m")</f>
        <v/>
      </c>
      <c r="AI364" s="28">
        <f>IF(OR(O364="",K364="",H364=""),"",IF(OR(E364="XAUUSD",RIGHT(E364,3)="USD"),(O364-K364)*Z364*AA364*H364,IF(LEFT(E364,3)="USD",IF(O364=0,"",(O364-K364)*Z364*AA364*H364/O364),AD364*10*H364)))</f>
        <v/>
      </c>
      <c r="AJ364" s="28">
        <f>IF(O364="","",IF(S364="",IF(AI364="",0,AI364),S364)-IF(R364="",0,R364))</f>
        <v/>
      </c>
      <c r="AK364" s="18">
        <f>IF(C364="","",IF(OR(O364="",P364=""),"Open",IF(ABS(AJ364)&lt;=BEThreshold,"BE",IF(AJ364&gt;0,"Win","Loss"))))</f>
        <v/>
      </c>
      <c r="AL364" s="28">
        <f>IF(OR(C364="",AK364="Open"),"",InitialCapital+SUMIFS($AJ$2:AJ364,$AK$2:AK364,"&lt;&gt;Open"))</f>
        <v/>
      </c>
      <c r="AM364" s="18">
        <f>IF(OR(C364="",AK364=""),"",IF(AK364="Open","No","Yes"))</f>
        <v/>
      </c>
    </row>
    <row r="365" ht="18" customHeight="1">
      <c r="A365" s="18">
        <f>IF(C365="","",COUNTA($C$2:C365))</f>
        <v/>
      </c>
      <c r="B365" s="18">
        <f>IF(C365="","",TEXT(C365,"dddd"))</f>
        <v/>
      </c>
      <c r="C365" s="19" t="n"/>
      <c r="D365" s="20" t="n"/>
      <c r="E365" s="21" t="n"/>
      <c r="F365" s="21" t="n"/>
      <c r="G365" s="21" t="n"/>
      <c r="H365" s="22" t="n"/>
      <c r="I365" s="23" t="n"/>
      <c r="J365" s="22" t="n"/>
      <c r="K365" s="24" t="n"/>
      <c r="L365" s="24" t="n"/>
      <c r="M365" s="24" t="n"/>
      <c r="N365" s="21" t="n"/>
      <c r="O365" s="24" t="n"/>
      <c r="P365" s="19" t="n"/>
      <c r="Q365" s="20" t="n"/>
      <c r="R365" s="23" t="n"/>
      <c r="S365" s="23" t="n"/>
      <c r="T365" s="21" t="n"/>
      <c r="U365" s="21" t="n"/>
      <c r="V365" s="21" t="n"/>
      <c r="W365" s="21" t="n"/>
      <c r="X365" s="21" t="n"/>
      <c r="Y365" s="25">
        <f>IF($C365="","",IF(E365="XAUUSD",0.1,IF(ISNUMBER(SEARCH("JPY",E365)),0.01,0.0001)))</f>
        <v/>
      </c>
      <c r="Z365" s="18">
        <f>IF($C365="","",IF(F365="Sell",-1,1))</f>
        <v/>
      </c>
      <c r="AA365" s="18">
        <f>IF($C365="","",IF(E365="XAUUSD",100,100000))</f>
        <v/>
      </c>
      <c r="AB365" s="26">
        <f>IF(OR(K365="",L365=""),"",ABS(K365-L365)/Y365)</f>
        <v/>
      </c>
      <c r="AC365" s="26">
        <f>IF(OR(K365="",M365=""),"",ABS(M365-K365)/Y365)</f>
        <v/>
      </c>
      <c r="AD365" s="26">
        <f>IF(OR(K365="",O365=""),"",(O365-K365)*Z365/Y365)</f>
        <v/>
      </c>
      <c r="AE365" s="27">
        <f>IF(OR(AB365="",AB365=0,AC365=""),"",AC365/AB365)</f>
        <v/>
      </c>
      <c r="AF365" s="27">
        <f>IF(OR(AB365="",AB365=0,AD365=""),"",AD365/AB365)</f>
        <v/>
      </c>
      <c r="AG365" s="27">
        <f>IF(OR(C365="",P365=""),"",((P365+IF(Q365="",0,Q365))-(C365+IF(D365="",0,D365)))*24)</f>
        <v/>
      </c>
      <c r="AH365" s="18">
        <f>IF(AG365="","",INT(AG365/24)&amp;"d "&amp;INT(MOD(AG365,24))&amp;"h "&amp;INT(MOD(AG365*60,60))&amp;"m")</f>
        <v/>
      </c>
      <c r="AI365" s="28">
        <f>IF(OR(O365="",K365="",H365=""),"",IF(OR(E365="XAUUSD",RIGHT(E365,3)="USD"),(O365-K365)*Z365*AA365*H365,IF(LEFT(E365,3)="USD",IF(O365=0,"",(O365-K365)*Z365*AA365*H365/O365),AD365*10*H365)))</f>
        <v/>
      </c>
      <c r="AJ365" s="28">
        <f>IF(O365="","",IF(S365="",IF(AI365="",0,AI365),S365)-IF(R365="",0,R365))</f>
        <v/>
      </c>
      <c r="AK365" s="18">
        <f>IF(C365="","",IF(OR(O365="",P365=""),"Open",IF(ABS(AJ365)&lt;=BEThreshold,"BE",IF(AJ365&gt;0,"Win","Loss"))))</f>
        <v/>
      </c>
      <c r="AL365" s="28">
        <f>IF(OR(C365="",AK365="Open"),"",InitialCapital+SUMIFS($AJ$2:AJ365,$AK$2:AK365,"&lt;&gt;Open"))</f>
        <v/>
      </c>
      <c r="AM365" s="18">
        <f>IF(OR(C365="",AK365=""),"",IF(AK365="Open","No","Yes"))</f>
        <v/>
      </c>
    </row>
    <row r="366" ht="18" customHeight="1">
      <c r="A366" s="18">
        <f>IF(C366="","",COUNTA($C$2:C366))</f>
        <v/>
      </c>
      <c r="B366" s="18">
        <f>IF(C366="","",TEXT(C366,"dddd"))</f>
        <v/>
      </c>
      <c r="C366" s="19" t="n"/>
      <c r="D366" s="20" t="n"/>
      <c r="E366" s="21" t="n"/>
      <c r="F366" s="21" t="n"/>
      <c r="G366" s="21" t="n"/>
      <c r="H366" s="22" t="n"/>
      <c r="I366" s="23" t="n"/>
      <c r="J366" s="22" t="n"/>
      <c r="K366" s="24" t="n"/>
      <c r="L366" s="24" t="n"/>
      <c r="M366" s="24" t="n"/>
      <c r="N366" s="21" t="n"/>
      <c r="O366" s="24" t="n"/>
      <c r="P366" s="19" t="n"/>
      <c r="Q366" s="20" t="n"/>
      <c r="R366" s="23" t="n"/>
      <c r="S366" s="23" t="n"/>
      <c r="T366" s="21" t="n"/>
      <c r="U366" s="21" t="n"/>
      <c r="V366" s="21" t="n"/>
      <c r="W366" s="21" t="n"/>
      <c r="X366" s="21" t="n"/>
      <c r="Y366" s="25">
        <f>IF($C366="","",IF(E366="XAUUSD",0.1,IF(ISNUMBER(SEARCH("JPY",E366)),0.01,0.0001)))</f>
        <v/>
      </c>
      <c r="Z366" s="18">
        <f>IF($C366="","",IF(F366="Sell",-1,1))</f>
        <v/>
      </c>
      <c r="AA366" s="18">
        <f>IF($C366="","",IF(E366="XAUUSD",100,100000))</f>
        <v/>
      </c>
      <c r="AB366" s="26">
        <f>IF(OR(K366="",L366=""),"",ABS(K366-L366)/Y366)</f>
        <v/>
      </c>
      <c r="AC366" s="26">
        <f>IF(OR(K366="",M366=""),"",ABS(M366-K366)/Y366)</f>
        <v/>
      </c>
      <c r="AD366" s="26">
        <f>IF(OR(K366="",O366=""),"",(O366-K366)*Z366/Y366)</f>
        <v/>
      </c>
      <c r="AE366" s="27">
        <f>IF(OR(AB366="",AB366=0,AC366=""),"",AC366/AB366)</f>
        <v/>
      </c>
      <c r="AF366" s="27">
        <f>IF(OR(AB366="",AB366=0,AD366=""),"",AD366/AB366)</f>
        <v/>
      </c>
      <c r="AG366" s="27">
        <f>IF(OR(C366="",P366=""),"",((P366+IF(Q366="",0,Q366))-(C366+IF(D366="",0,D366)))*24)</f>
        <v/>
      </c>
      <c r="AH366" s="18">
        <f>IF(AG366="","",INT(AG366/24)&amp;"d "&amp;INT(MOD(AG366,24))&amp;"h "&amp;INT(MOD(AG366*60,60))&amp;"m")</f>
        <v/>
      </c>
      <c r="AI366" s="28">
        <f>IF(OR(O366="",K366="",H366=""),"",IF(OR(E366="XAUUSD",RIGHT(E366,3)="USD"),(O366-K366)*Z366*AA366*H366,IF(LEFT(E366,3)="USD",IF(O366=0,"",(O366-K366)*Z366*AA366*H366/O366),AD366*10*H366)))</f>
        <v/>
      </c>
      <c r="AJ366" s="28">
        <f>IF(O366="","",IF(S366="",IF(AI366="",0,AI366),S366)-IF(R366="",0,R366))</f>
        <v/>
      </c>
      <c r="AK366" s="18">
        <f>IF(C366="","",IF(OR(O366="",P366=""),"Open",IF(ABS(AJ366)&lt;=BEThreshold,"BE",IF(AJ366&gt;0,"Win","Loss"))))</f>
        <v/>
      </c>
      <c r="AL366" s="28">
        <f>IF(OR(C366="",AK366="Open"),"",InitialCapital+SUMIFS($AJ$2:AJ366,$AK$2:AK366,"&lt;&gt;Open"))</f>
        <v/>
      </c>
      <c r="AM366" s="18">
        <f>IF(OR(C366="",AK366=""),"",IF(AK366="Open","No","Yes"))</f>
        <v/>
      </c>
    </row>
    <row r="367" ht="18" customHeight="1">
      <c r="A367" s="18">
        <f>IF(C367="","",COUNTA($C$2:C367))</f>
        <v/>
      </c>
      <c r="B367" s="18">
        <f>IF(C367="","",TEXT(C367,"dddd"))</f>
        <v/>
      </c>
      <c r="C367" s="19" t="n"/>
      <c r="D367" s="20" t="n"/>
      <c r="E367" s="21" t="n"/>
      <c r="F367" s="21" t="n"/>
      <c r="G367" s="21" t="n"/>
      <c r="H367" s="22" t="n"/>
      <c r="I367" s="23" t="n"/>
      <c r="J367" s="22" t="n"/>
      <c r="K367" s="24" t="n"/>
      <c r="L367" s="24" t="n"/>
      <c r="M367" s="24" t="n"/>
      <c r="N367" s="21" t="n"/>
      <c r="O367" s="24" t="n"/>
      <c r="P367" s="19" t="n"/>
      <c r="Q367" s="20" t="n"/>
      <c r="R367" s="23" t="n"/>
      <c r="S367" s="23" t="n"/>
      <c r="T367" s="21" t="n"/>
      <c r="U367" s="21" t="n"/>
      <c r="V367" s="21" t="n"/>
      <c r="W367" s="21" t="n"/>
      <c r="X367" s="21" t="n"/>
      <c r="Y367" s="25">
        <f>IF($C367="","",IF(E367="XAUUSD",0.1,IF(ISNUMBER(SEARCH("JPY",E367)),0.01,0.0001)))</f>
        <v/>
      </c>
      <c r="Z367" s="18">
        <f>IF($C367="","",IF(F367="Sell",-1,1))</f>
        <v/>
      </c>
      <c r="AA367" s="18">
        <f>IF($C367="","",IF(E367="XAUUSD",100,100000))</f>
        <v/>
      </c>
      <c r="AB367" s="26">
        <f>IF(OR(K367="",L367=""),"",ABS(K367-L367)/Y367)</f>
        <v/>
      </c>
      <c r="AC367" s="26">
        <f>IF(OR(K367="",M367=""),"",ABS(M367-K367)/Y367)</f>
        <v/>
      </c>
      <c r="AD367" s="26">
        <f>IF(OR(K367="",O367=""),"",(O367-K367)*Z367/Y367)</f>
        <v/>
      </c>
      <c r="AE367" s="27">
        <f>IF(OR(AB367="",AB367=0,AC367=""),"",AC367/AB367)</f>
        <v/>
      </c>
      <c r="AF367" s="27">
        <f>IF(OR(AB367="",AB367=0,AD367=""),"",AD367/AB367)</f>
        <v/>
      </c>
      <c r="AG367" s="27">
        <f>IF(OR(C367="",P367=""),"",((P367+IF(Q367="",0,Q367))-(C367+IF(D367="",0,D367)))*24)</f>
        <v/>
      </c>
      <c r="AH367" s="18">
        <f>IF(AG367="","",INT(AG367/24)&amp;"d "&amp;INT(MOD(AG367,24))&amp;"h "&amp;INT(MOD(AG367*60,60))&amp;"m")</f>
        <v/>
      </c>
      <c r="AI367" s="28">
        <f>IF(OR(O367="",K367="",H367=""),"",IF(OR(E367="XAUUSD",RIGHT(E367,3)="USD"),(O367-K367)*Z367*AA367*H367,IF(LEFT(E367,3)="USD",IF(O367=0,"",(O367-K367)*Z367*AA367*H367/O367),AD367*10*H367)))</f>
        <v/>
      </c>
      <c r="AJ367" s="28">
        <f>IF(O367="","",IF(S367="",IF(AI367="",0,AI367),S367)-IF(R367="",0,R367))</f>
        <v/>
      </c>
      <c r="AK367" s="18">
        <f>IF(C367="","",IF(OR(O367="",P367=""),"Open",IF(ABS(AJ367)&lt;=BEThreshold,"BE",IF(AJ367&gt;0,"Win","Loss"))))</f>
        <v/>
      </c>
      <c r="AL367" s="28">
        <f>IF(OR(C367="",AK367="Open"),"",InitialCapital+SUMIFS($AJ$2:AJ367,$AK$2:AK367,"&lt;&gt;Open"))</f>
        <v/>
      </c>
      <c r="AM367" s="18">
        <f>IF(OR(C367="",AK367=""),"",IF(AK367="Open","No","Yes"))</f>
        <v/>
      </c>
    </row>
    <row r="368" ht="18" customHeight="1">
      <c r="A368" s="18">
        <f>IF(C368="","",COUNTA($C$2:C368))</f>
        <v/>
      </c>
      <c r="B368" s="18">
        <f>IF(C368="","",TEXT(C368,"dddd"))</f>
        <v/>
      </c>
      <c r="C368" s="19" t="n"/>
      <c r="D368" s="20" t="n"/>
      <c r="E368" s="21" t="n"/>
      <c r="F368" s="21" t="n"/>
      <c r="G368" s="21" t="n"/>
      <c r="H368" s="22" t="n"/>
      <c r="I368" s="23" t="n"/>
      <c r="J368" s="22" t="n"/>
      <c r="K368" s="24" t="n"/>
      <c r="L368" s="24" t="n"/>
      <c r="M368" s="24" t="n"/>
      <c r="N368" s="21" t="n"/>
      <c r="O368" s="24" t="n"/>
      <c r="P368" s="19" t="n"/>
      <c r="Q368" s="20" t="n"/>
      <c r="R368" s="23" t="n"/>
      <c r="S368" s="23" t="n"/>
      <c r="T368" s="21" t="n"/>
      <c r="U368" s="21" t="n"/>
      <c r="V368" s="21" t="n"/>
      <c r="W368" s="21" t="n"/>
      <c r="X368" s="21" t="n"/>
      <c r="Y368" s="25">
        <f>IF($C368="","",IF(E368="XAUUSD",0.1,IF(ISNUMBER(SEARCH("JPY",E368)),0.01,0.0001)))</f>
        <v/>
      </c>
      <c r="Z368" s="18">
        <f>IF($C368="","",IF(F368="Sell",-1,1))</f>
        <v/>
      </c>
      <c r="AA368" s="18">
        <f>IF($C368="","",IF(E368="XAUUSD",100,100000))</f>
        <v/>
      </c>
      <c r="AB368" s="26">
        <f>IF(OR(K368="",L368=""),"",ABS(K368-L368)/Y368)</f>
        <v/>
      </c>
      <c r="AC368" s="26">
        <f>IF(OR(K368="",M368=""),"",ABS(M368-K368)/Y368)</f>
        <v/>
      </c>
      <c r="AD368" s="26">
        <f>IF(OR(K368="",O368=""),"",(O368-K368)*Z368/Y368)</f>
        <v/>
      </c>
      <c r="AE368" s="27">
        <f>IF(OR(AB368="",AB368=0,AC368=""),"",AC368/AB368)</f>
        <v/>
      </c>
      <c r="AF368" s="27">
        <f>IF(OR(AB368="",AB368=0,AD368=""),"",AD368/AB368)</f>
        <v/>
      </c>
      <c r="AG368" s="27">
        <f>IF(OR(C368="",P368=""),"",((P368+IF(Q368="",0,Q368))-(C368+IF(D368="",0,D368)))*24)</f>
        <v/>
      </c>
      <c r="AH368" s="18">
        <f>IF(AG368="","",INT(AG368/24)&amp;"d "&amp;INT(MOD(AG368,24))&amp;"h "&amp;INT(MOD(AG368*60,60))&amp;"m")</f>
        <v/>
      </c>
      <c r="AI368" s="28">
        <f>IF(OR(O368="",K368="",H368=""),"",IF(OR(E368="XAUUSD",RIGHT(E368,3)="USD"),(O368-K368)*Z368*AA368*H368,IF(LEFT(E368,3)="USD",IF(O368=0,"",(O368-K368)*Z368*AA368*H368/O368),AD368*10*H368)))</f>
        <v/>
      </c>
      <c r="AJ368" s="28">
        <f>IF(O368="","",IF(S368="",IF(AI368="",0,AI368),S368)-IF(R368="",0,R368))</f>
        <v/>
      </c>
      <c r="AK368" s="18">
        <f>IF(C368="","",IF(OR(O368="",P368=""),"Open",IF(ABS(AJ368)&lt;=BEThreshold,"BE",IF(AJ368&gt;0,"Win","Loss"))))</f>
        <v/>
      </c>
      <c r="AL368" s="28">
        <f>IF(OR(C368="",AK368="Open"),"",InitialCapital+SUMIFS($AJ$2:AJ368,$AK$2:AK368,"&lt;&gt;Open"))</f>
        <v/>
      </c>
      <c r="AM368" s="18">
        <f>IF(OR(C368="",AK368=""),"",IF(AK368="Open","No","Yes"))</f>
        <v/>
      </c>
    </row>
    <row r="369" ht="18" customHeight="1">
      <c r="A369" s="18">
        <f>IF(C369="","",COUNTA($C$2:C369))</f>
        <v/>
      </c>
      <c r="B369" s="18">
        <f>IF(C369="","",TEXT(C369,"dddd"))</f>
        <v/>
      </c>
      <c r="C369" s="19" t="n"/>
      <c r="D369" s="20" t="n"/>
      <c r="E369" s="21" t="n"/>
      <c r="F369" s="21" t="n"/>
      <c r="G369" s="21" t="n"/>
      <c r="H369" s="22" t="n"/>
      <c r="I369" s="23" t="n"/>
      <c r="J369" s="22" t="n"/>
      <c r="K369" s="24" t="n"/>
      <c r="L369" s="24" t="n"/>
      <c r="M369" s="24" t="n"/>
      <c r="N369" s="21" t="n"/>
      <c r="O369" s="24" t="n"/>
      <c r="P369" s="19" t="n"/>
      <c r="Q369" s="20" t="n"/>
      <c r="R369" s="23" t="n"/>
      <c r="S369" s="23" t="n"/>
      <c r="T369" s="21" t="n"/>
      <c r="U369" s="21" t="n"/>
      <c r="V369" s="21" t="n"/>
      <c r="W369" s="21" t="n"/>
      <c r="X369" s="21" t="n"/>
      <c r="Y369" s="25">
        <f>IF($C369="","",IF(E369="XAUUSD",0.1,IF(ISNUMBER(SEARCH("JPY",E369)),0.01,0.0001)))</f>
        <v/>
      </c>
      <c r="Z369" s="18">
        <f>IF($C369="","",IF(F369="Sell",-1,1))</f>
        <v/>
      </c>
      <c r="AA369" s="18">
        <f>IF($C369="","",IF(E369="XAUUSD",100,100000))</f>
        <v/>
      </c>
      <c r="AB369" s="26">
        <f>IF(OR(K369="",L369=""),"",ABS(K369-L369)/Y369)</f>
        <v/>
      </c>
      <c r="AC369" s="26">
        <f>IF(OR(K369="",M369=""),"",ABS(M369-K369)/Y369)</f>
        <v/>
      </c>
      <c r="AD369" s="26">
        <f>IF(OR(K369="",O369=""),"",(O369-K369)*Z369/Y369)</f>
        <v/>
      </c>
      <c r="AE369" s="27">
        <f>IF(OR(AB369="",AB369=0,AC369=""),"",AC369/AB369)</f>
        <v/>
      </c>
      <c r="AF369" s="27">
        <f>IF(OR(AB369="",AB369=0,AD369=""),"",AD369/AB369)</f>
        <v/>
      </c>
      <c r="AG369" s="27">
        <f>IF(OR(C369="",P369=""),"",((P369+IF(Q369="",0,Q369))-(C369+IF(D369="",0,D369)))*24)</f>
        <v/>
      </c>
      <c r="AH369" s="18">
        <f>IF(AG369="","",INT(AG369/24)&amp;"d "&amp;INT(MOD(AG369,24))&amp;"h "&amp;INT(MOD(AG369*60,60))&amp;"m")</f>
        <v/>
      </c>
      <c r="AI369" s="28">
        <f>IF(OR(O369="",K369="",H369=""),"",IF(OR(E369="XAUUSD",RIGHT(E369,3)="USD"),(O369-K369)*Z369*AA369*H369,IF(LEFT(E369,3)="USD",IF(O369=0,"",(O369-K369)*Z369*AA369*H369/O369),AD369*10*H369)))</f>
        <v/>
      </c>
      <c r="AJ369" s="28">
        <f>IF(O369="","",IF(S369="",IF(AI369="",0,AI369),S369)-IF(R369="",0,R369))</f>
        <v/>
      </c>
      <c r="AK369" s="18">
        <f>IF(C369="","",IF(OR(O369="",P369=""),"Open",IF(ABS(AJ369)&lt;=BEThreshold,"BE",IF(AJ369&gt;0,"Win","Loss"))))</f>
        <v/>
      </c>
      <c r="AL369" s="28">
        <f>IF(OR(C369="",AK369="Open"),"",InitialCapital+SUMIFS($AJ$2:AJ369,$AK$2:AK369,"&lt;&gt;Open"))</f>
        <v/>
      </c>
      <c r="AM369" s="18">
        <f>IF(OR(C369="",AK369=""),"",IF(AK369="Open","No","Yes"))</f>
        <v/>
      </c>
    </row>
    <row r="370" ht="18" customHeight="1">
      <c r="A370" s="18">
        <f>IF(C370="","",COUNTA($C$2:C370))</f>
        <v/>
      </c>
      <c r="B370" s="18">
        <f>IF(C370="","",TEXT(C370,"dddd"))</f>
        <v/>
      </c>
      <c r="C370" s="19" t="n"/>
      <c r="D370" s="20" t="n"/>
      <c r="E370" s="21" t="n"/>
      <c r="F370" s="21" t="n"/>
      <c r="G370" s="21" t="n"/>
      <c r="H370" s="22" t="n"/>
      <c r="I370" s="23" t="n"/>
      <c r="J370" s="22" t="n"/>
      <c r="K370" s="24" t="n"/>
      <c r="L370" s="24" t="n"/>
      <c r="M370" s="24" t="n"/>
      <c r="N370" s="21" t="n"/>
      <c r="O370" s="24" t="n"/>
      <c r="P370" s="19" t="n"/>
      <c r="Q370" s="20" t="n"/>
      <c r="R370" s="23" t="n"/>
      <c r="S370" s="23" t="n"/>
      <c r="T370" s="21" t="n"/>
      <c r="U370" s="21" t="n"/>
      <c r="V370" s="21" t="n"/>
      <c r="W370" s="21" t="n"/>
      <c r="X370" s="21" t="n"/>
      <c r="Y370" s="25">
        <f>IF($C370="","",IF(E370="XAUUSD",0.1,IF(ISNUMBER(SEARCH("JPY",E370)),0.01,0.0001)))</f>
        <v/>
      </c>
      <c r="Z370" s="18">
        <f>IF($C370="","",IF(F370="Sell",-1,1))</f>
        <v/>
      </c>
      <c r="AA370" s="18">
        <f>IF($C370="","",IF(E370="XAUUSD",100,100000))</f>
        <v/>
      </c>
      <c r="AB370" s="26">
        <f>IF(OR(K370="",L370=""),"",ABS(K370-L370)/Y370)</f>
        <v/>
      </c>
      <c r="AC370" s="26">
        <f>IF(OR(K370="",M370=""),"",ABS(M370-K370)/Y370)</f>
        <v/>
      </c>
      <c r="AD370" s="26">
        <f>IF(OR(K370="",O370=""),"",(O370-K370)*Z370/Y370)</f>
        <v/>
      </c>
      <c r="AE370" s="27">
        <f>IF(OR(AB370="",AB370=0,AC370=""),"",AC370/AB370)</f>
        <v/>
      </c>
      <c r="AF370" s="27">
        <f>IF(OR(AB370="",AB370=0,AD370=""),"",AD370/AB370)</f>
        <v/>
      </c>
      <c r="AG370" s="27">
        <f>IF(OR(C370="",P370=""),"",((P370+IF(Q370="",0,Q370))-(C370+IF(D370="",0,D370)))*24)</f>
        <v/>
      </c>
      <c r="AH370" s="18">
        <f>IF(AG370="","",INT(AG370/24)&amp;"d "&amp;INT(MOD(AG370,24))&amp;"h "&amp;INT(MOD(AG370*60,60))&amp;"m")</f>
        <v/>
      </c>
      <c r="AI370" s="28">
        <f>IF(OR(O370="",K370="",H370=""),"",IF(OR(E370="XAUUSD",RIGHT(E370,3)="USD"),(O370-K370)*Z370*AA370*H370,IF(LEFT(E370,3)="USD",IF(O370=0,"",(O370-K370)*Z370*AA370*H370/O370),AD370*10*H370)))</f>
        <v/>
      </c>
      <c r="AJ370" s="28">
        <f>IF(O370="","",IF(S370="",IF(AI370="",0,AI370),S370)-IF(R370="",0,R370))</f>
        <v/>
      </c>
      <c r="AK370" s="18">
        <f>IF(C370="","",IF(OR(O370="",P370=""),"Open",IF(ABS(AJ370)&lt;=BEThreshold,"BE",IF(AJ370&gt;0,"Win","Loss"))))</f>
        <v/>
      </c>
      <c r="AL370" s="28">
        <f>IF(OR(C370="",AK370="Open"),"",InitialCapital+SUMIFS($AJ$2:AJ370,$AK$2:AK370,"&lt;&gt;Open"))</f>
        <v/>
      </c>
      <c r="AM370" s="18">
        <f>IF(OR(C370="",AK370=""),"",IF(AK370="Open","No","Yes"))</f>
        <v/>
      </c>
    </row>
    <row r="371" ht="18" customHeight="1">
      <c r="A371" s="18">
        <f>IF(C371="","",COUNTA($C$2:C371))</f>
        <v/>
      </c>
      <c r="B371" s="18">
        <f>IF(C371="","",TEXT(C371,"dddd"))</f>
        <v/>
      </c>
      <c r="C371" s="19" t="n"/>
      <c r="D371" s="20" t="n"/>
      <c r="E371" s="21" t="n"/>
      <c r="F371" s="21" t="n"/>
      <c r="G371" s="21" t="n"/>
      <c r="H371" s="22" t="n"/>
      <c r="I371" s="23" t="n"/>
      <c r="J371" s="22" t="n"/>
      <c r="K371" s="24" t="n"/>
      <c r="L371" s="24" t="n"/>
      <c r="M371" s="24" t="n"/>
      <c r="N371" s="21" t="n"/>
      <c r="O371" s="24" t="n"/>
      <c r="P371" s="19" t="n"/>
      <c r="Q371" s="20" t="n"/>
      <c r="R371" s="23" t="n"/>
      <c r="S371" s="23" t="n"/>
      <c r="T371" s="21" t="n"/>
      <c r="U371" s="21" t="n"/>
      <c r="V371" s="21" t="n"/>
      <c r="W371" s="21" t="n"/>
      <c r="X371" s="21" t="n"/>
      <c r="Y371" s="25">
        <f>IF($C371="","",IF(E371="XAUUSD",0.1,IF(ISNUMBER(SEARCH("JPY",E371)),0.01,0.0001)))</f>
        <v/>
      </c>
      <c r="Z371" s="18">
        <f>IF($C371="","",IF(F371="Sell",-1,1))</f>
        <v/>
      </c>
      <c r="AA371" s="18">
        <f>IF($C371="","",IF(E371="XAUUSD",100,100000))</f>
        <v/>
      </c>
      <c r="AB371" s="26">
        <f>IF(OR(K371="",L371=""),"",ABS(K371-L371)/Y371)</f>
        <v/>
      </c>
      <c r="AC371" s="26">
        <f>IF(OR(K371="",M371=""),"",ABS(M371-K371)/Y371)</f>
        <v/>
      </c>
      <c r="AD371" s="26">
        <f>IF(OR(K371="",O371=""),"",(O371-K371)*Z371/Y371)</f>
        <v/>
      </c>
      <c r="AE371" s="27">
        <f>IF(OR(AB371="",AB371=0,AC371=""),"",AC371/AB371)</f>
        <v/>
      </c>
      <c r="AF371" s="27">
        <f>IF(OR(AB371="",AB371=0,AD371=""),"",AD371/AB371)</f>
        <v/>
      </c>
      <c r="AG371" s="27">
        <f>IF(OR(C371="",P371=""),"",((P371+IF(Q371="",0,Q371))-(C371+IF(D371="",0,D371)))*24)</f>
        <v/>
      </c>
      <c r="AH371" s="18">
        <f>IF(AG371="","",INT(AG371/24)&amp;"d "&amp;INT(MOD(AG371,24))&amp;"h "&amp;INT(MOD(AG371*60,60))&amp;"m")</f>
        <v/>
      </c>
      <c r="AI371" s="28">
        <f>IF(OR(O371="",K371="",H371=""),"",IF(OR(E371="XAUUSD",RIGHT(E371,3)="USD"),(O371-K371)*Z371*AA371*H371,IF(LEFT(E371,3)="USD",IF(O371=0,"",(O371-K371)*Z371*AA371*H371/O371),AD371*10*H371)))</f>
        <v/>
      </c>
      <c r="AJ371" s="28">
        <f>IF(O371="","",IF(S371="",IF(AI371="",0,AI371),S371)-IF(R371="",0,R371))</f>
        <v/>
      </c>
      <c r="AK371" s="18">
        <f>IF(C371="","",IF(OR(O371="",P371=""),"Open",IF(ABS(AJ371)&lt;=BEThreshold,"BE",IF(AJ371&gt;0,"Win","Loss"))))</f>
        <v/>
      </c>
      <c r="AL371" s="28">
        <f>IF(OR(C371="",AK371="Open"),"",InitialCapital+SUMIFS($AJ$2:AJ371,$AK$2:AK371,"&lt;&gt;Open"))</f>
        <v/>
      </c>
      <c r="AM371" s="18">
        <f>IF(OR(C371="",AK371=""),"",IF(AK371="Open","No","Yes"))</f>
        <v/>
      </c>
    </row>
    <row r="372" ht="18" customHeight="1">
      <c r="A372" s="18">
        <f>IF(C372="","",COUNTA($C$2:C372))</f>
        <v/>
      </c>
      <c r="B372" s="18">
        <f>IF(C372="","",TEXT(C372,"dddd"))</f>
        <v/>
      </c>
      <c r="C372" s="19" t="n"/>
      <c r="D372" s="20" t="n"/>
      <c r="E372" s="21" t="n"/>
      <c r="F372" s="21" t="n"/>
      <c r="G372" s="21" t="n"/>
      <c r="H372" s="22" t="n"/>
      <c r="I372" s="23" t="n"/>
      <c r="J372" s="22" t="n"/>
      <c r="K372" s="24" t="n"/>
      <c r="L372" s="24" t="n"/>
      <c r="M372" s="24" t="n"/>
      <c r="N372" s="21" t="n"/>
      <c r="O372" s="24" t="n"/>
      <c r="P372" s="19" t="n"/>
      <c r="Q372" s="20" t="n"/>
      <c r="R372" s="23" t="n"/>
      <c r="S372" s="23" t="n"/>
      <c r="T372" s="21" t="n"/>
      <c r="U372" s="21" t="n"/>
      <c r="V372" s="21" t="n"/>
      <c r="W372" s="21" t="n"/>
      <c r="X372" s="21" t="n"/>
      <c r="Y372" s="25">
        <f>IF($C372="","",IF(E372="XAUUSD",0.1,IF(ISNUMBER(SEARCH("JPY",E372)),0.01,0.0001)))</f>
        <v/>
      </c>
      <c r="Z372" s="18">
        <f>IF($C372="","",IF(F372="Sell",-1,1))</f>
        <v/>
      </c>
      <c r="AA372" s="18">
        <f>IF($C372="","",IF(E372="XAUUSD",100,100000))</f>
        <v/>
      </c>
      <c r="AB372" s="26">
        <f>IF(OR(K372="",L372=""),"",ABS(K372-L372)/Y372)</f>
        <v/>
      </c>
      <c r="AC372" s="26">
        <f>IF(OR(K372="",M372=""),"",ABS(M372-K372)/Y372)</f>
        <v/>
      </c>
      <c r="AD372" s="26">
        <f>IF(OR(K372="",O372=""),"",(O372-K372)*Z372/Y372)</f>
        <v/>
      </c>
      <c r="AE372" s="27">
        <f>IF(OR(AB372="",AB372=0,AC372=""),"",AC372/AB372)</f>
        <v/>
      </c>
      <c r="AF372" s="27">
        <f>IF(OR(AB372="",AB372=0,AD372=""),"",AD372/AB372)</f>
        <v/>
      </c>
      <c r="AG372" s="27">
        <f>IF(OR(C372="",P372=""),"",((P372+IF(Q372="",0,Q372))-(C372+IF(D372="",0,D372)))*24)</f>
        <v/>
      </c>
      <c r="AH372" s="18">
        <f>IF(AG372="","",INT(AG372/24)&amp;"d "&amp;INT(MOD(AG372,24))&amp;"h "&amp;INT(MOD(AG372*60,60))&amp;"m")</f>
        <v/>
      </c>
      <c r="AI372" s="28">
        <f>IF(OR(O372="",K372="",H372=""),"",IF(OR(E372="XAUUSD",RIGHT(E372,3)="USD"),(O372-K372)*Z372*AA372*H372,IF(LEFT(E372,3)="USD",IF(O372=0,"",(O372-K372)*Z372*AA372*H372/O372),AD372*10*H372)))</f>
        <v/>
      </c>
      <c r="AJ372" s="28">
        <f>IF(O372="","",IF(S372="",IF(AI372="",0,AI372),S372)-IF(R372="",0,R372))</f>
        <v/>
      </c>
      <c r="AK372" s="18">
        <f>IF(C372="","",IF(OR(O372="",P372=""),"Open",IF(ABS(AJ372)&lt;=BEThreshold,"BE",IF(AJ372&gt;0,"Win","Loss"))))</f>
        <v/>
      </c>
      <c r="AL372" s="28">
        <f>IF(OR(C372="",AK372="Open"),"",InitialCapital+SUMIFS($AJ$2:AJ372,$AK$2:AK372,"&lt;&gt;Open"))</f>
        <v/>
      </c>
      <c r="AM372" s="18">
        <f>IF(OR(C372="",AK372=""),"",IF(AK372="Open","No","Yes"))</f>
        <v/>
      </c>
    </row>
    <row r="373" ht="18" customHeight="1">
      <c r="A373" s="18">
        <f>IF(C373="","",COUNTA($C$2:C373))</f>
        <v/>
      </c>
      <c r="B373" s="18">
        <f>IF(C373="","",TEXT(C373,"dddd"))</f>
        <v/>
      </c>
      <c r="C373" s="19" t="n"/>
      <c r="D373" s="20" t="n"/>
      <c r="E373" s="21" t="n"/>
      <c r="F373" s="21" t="n"/>
      <c r="G373" s="21" t="n"/>
      <c r="H373" s="22" t="n"/>
      <c r="I373" s="23" t="n"/>
      <c r="J373" s="22" t="n"/>
      <c r="K373" s="24" t="n"/>
      <c r="L373" s="24" t="n"/>
      <c r="M373" s="24" t="n"/>
      <c r="N373" s="21" t="n"/>
      <c r="O373" s="24" t="n"/>
      <c r="P373" s="19" t="n"/>
      <c r="Q373" s="20" t="n"/>
      <c r="R373" s="23" t="n"/>
      <c r="S373" s="23" t="n"/>
      <c r="T373" s="21" t="n"/>
      <c r="U373" s="21" t="n"/>
      <c r="V373" s="21" t="n"/>
      <c r="W373" s="21" t="n"/>
      <c r="X373" s="21" t="n"/>
      <c r="Y373" s="25">
        <f>IF($C373="","",IF(E373="XAUUSD",0.1,IF(ISNUMBER(SEARCH("JPY",E373)),0.01,0.0001)))</f>
        <v/>
      </c>
      <c r="Z373" s="18">
        <f>IF($C373="","",IF(F373="Sell",-1,1))</f>
        <v/>
      </c>
      <c r="AA373" s="18">
        <f>IF($C373="","",IF(E373="XAUUSD",100,100000))</f>
        <v/>
      </c>
      <c r="AB373" s="26">
        <f>IF(OR(K373="",L373=""),"",ABS(K373-L373)/Y373)</f>
        <v/>
      </c>
      <c r="AC373" s="26">
        <f>IF(OR(K373="",M373=""),"",ABS(M373-K373)/Y373)</f>
        <v/>
      </c>
      <c r="AD373" s="26">
        <f>IF(OR(K373="",O373=""),"",(O373-K373)*Z373/Y373)</f>
        <v/>
      </c>
      <c r="AE373" s="27">
        <f>IF(OR(AB373="",AB373=0,AC373=""),"",AC373/AB373)</f>
        <v/>
      </c>
      <c r="AF373" s="27">
        <f>IF(OR(AB373="",AB373=0,AD373=""),"",AD373/AB373)</f>
        <v/>
      </c>
      <c r="AG373" s="27">
        <f>IF(OR(C373="",P373=""),"",((P373+IF(Q373="",0,Q373))-(C373+IF(D373="",0,D373)))*24)</f>
        <v/>
      </c>
      <c r="AH373" s="18">
        <f>IF(AG373="","",INT(AG373/24)&amp;"d "&amp;INT(MOD(AG373,24))&amp;"h "&amp;INT(MOD(AG373*60,60))&amp;"m")</f>
        <v/>
      </c>
      <c r="AI373" s="28">
        <f>IF(OR(O373="",K373="",H373=""),"",IF(OR(E373="XAUUSD",RIGHT(E373,3)="USD"),(O373-K373)*Z373*AA373*H373,IF(LEFT(E373,3)="USD",IF(O373=0,"",(O373-K373)*Z373*AA373*H373/O373),AD373*10*H373)))</f>
        <v/>
      </c>
      <c r="AJ373" s="28">
        <f>IF(O373="","",IF(S373="",IF(AI373="",0,AI373),S373)-IF(R373="",0,R373))</f>
        <v/>
      </c>
      <c r="AK373" s="18">
        <f>IF(C373="","",IF(OR(O373="",P373=""),"Open",IF(ABS(AJ373)&lt;=BEThreshold,"BE",IF(AJ373&gt;0,"Win","Loss"))))</f>
        <v/>
      </c>
      <c r="AL373" s="28">
        <f>IF(OR(C373="",AK373="Open"),"",InitialCapital+SUMIFS($AJ$2:AJ373,$AK$2:AK373,"&lt;&gt;Open"))</f>
        <v/>
      </c>
      <c r="AM373" s="18">
        <f>IF(OR(C373="",AK373=""),"",IF(AK373="Open","No","Yes"))</f>
        <v/>
      </c>
    </row>
    <row r="374" ht="18" customHeight="1">
      <c r="A374" s="18">
        <f>IF(C374="","",COUNTA($C$2:C374))</f>
        <v/>
      </c>
      <c r="B374" s="18">
        <f>IF(C374="","",TEXT(C374,"dddd"))</f>
        <v/>
      </c>
      <c r="C374" s="19" t="n"/>
      <c r="D374" s="20" t="n"/>
      <c r="E374" s="21" t="n"/>
      <c r="F374" s="21" t="n"/>
      <c r="G374" s="21" t="n"/>
      <c r="H374" s="22" t="n"/>
      <c r="I374" s="23" t="n"/>
      <c r="J374" s="22" t="n"/>
      <c r="K374" s="24" t="n"/>
      <c r="L374" s="24" t="n"/>
      <c r="M374" s="24" t="n"/>
      <c r="N374" s="21" t="n"/>
      <c r="O374" s="24" t="n"/>
      <c r="P374" s="19" t="n"/>
      <c r="Q374" s="20" t="n"/>
      <c r="R374" s="23" t="n"/>
      <c r="S374" s="23" t="n"/>
      <c r="T374" s="21" t="n"/>
      <c r="U374" s="21" t="n"/>
      <c r="V374" s="21" t="n"/>
      <c r="W374" s="21" t="n"/>
      <c r="X374" s="21" t="n"/>
      <c r="Y374" s="25">
        <f>IF($C374="","",IF(E374="XAUUSD",0.1,IF(ISNUMBER(SEARCH("JPY",E374)),0.01,0.0001)))</f>
        <v/>
      </c>
      <c r="Z374" s="18">
        <f>IF($C374="","",IF(F374="Sell",-1,1))</f>
        <v/>
      </c>
      <c r="AA374" s="18">
        <f>IF($C374="","",IF(E374="XAUUSD",100,100000))</f>
        <v/>
      </c>
      <c r="AB374" s="26">
        <f>IF(OR(K374="",L374=""),"",ABS(K374-L374)/Y374)</f>
        <v/>
      </c>
      <c r="AC374" s="26">
        <f>IF(OR(K374="",M374=""),"",ABS(M374-K374)/Y374)</f>
        <v/>
      </c>
      <c r="AD374" s="26">
        <f>IF(OR(K374="",O374=""),"",(O374-K374)*Z374/Y374)</f>
        <v/>
      </c>
      <c r="AE374" s="27">
        <f>IF(OR(AB374="",AB374=0,AC374=""),"",AC374/AB374)</f>
        <v/>
      </c>
      <c r="AF374" s="27">
        <f>IF(OR(AB374="",AB374=0,AD374=""),"",AD374/AB374)</f>
        <v/>
      </c>
      <c r="AG374" s="27">
        <f>IF(OR(C374="",P374=""),"",((P374+IF(Q374="",0,Q374))-(C374+IF(D374="",0,D374)))*24)</f>
        <v/>
      </c>
      <c r="AH374" s="18">
        <f>IF(AG374="","",INT(AG374/24)&amp;"d "&amp;INT(MOD(AG374,24))&amp;"h "&amp;INT(MOD(AG374*60,60))&amp;"m")</f>
        <v/>
      </c>
      <c r="AI374" s="28">
        <f>IF(OR(O374="",K374="",H374=""),"",IF(OR(E374="XAUUSD",RIGHT(E374,3)="USD"),(O374-K374)*Z374*AA374*H374,IF(LEFT(E374,3)="USD",IF(O374=0,"",(O374-K374)*Z374*AA374*H374/O374),AD374*10*H374)))</f>
        <v/>
      </c>
      <c r="AJ374" s="28">
        <f>IF(O374="","",IF(S374="",IF(AI374="",0,AI374),S374)-IF(R374="",0,R374))</f>
        <v/>
      </c>
      <c r="AK374" s="18">
        <f>IF(C374="","",IF(OR(O374="",P374=""),"Open",IF(ABS(AJ374)&lt;=BEThreshold,"BE",IF(AJ374&gt;0,"Win","Loss"))))</f>
        <v/>
      </c>
      <c r="AL374" s="28">
        <f>IF(OR(C374="",AK374="Open"),"",InitialCapital+SUMIFS($AJ$2:AJ374,$AK$2:AK374,"&lt;&gt;Open"))</f>
        <v/>
      </c>
      <c r="AM374" s="18">
        <f>IF(OR(C374="",AK374=""),"",IF(AK374="Open","No","Yes"))</f>
        <v/>
      </c>
    </row>
    <row r="375" ht="18" customHeight="1">
      <c r="A375" s="18">
        <f>IF(C375="","",COUNTA($C$2:C375))</f>
        <v/>
      </c>
      <c r="B375" s="18">
        <f>IF(C375="","",TEXT(C375,"dddd"))</f>
        <v/>
      </c>
      <c r="C375" s="19" t="n"/>
      <c r="D375" s="20" t="n"/>
      <c r="E375" s="21" t="n"/>
      <c r="F375" s="21" t="n"/>
      <c r="G375" s="21" t="n"/>
      <c r="H375" s="22" t="n"/>
      <c r="I375" s="23" t="n"/>
      <c r="J375" s="22" t="n"/>
      <c r="K375" s="24" t="n"/>
      <c r="L375" s="24" t="n"/>
      <c r="M375" s="24" t="n"/>
      <c r="N375" s="21" t="n"/>
      <c r="O375" s="24" t="n"/>
      <c r="P375" s="19" t="n"/>
      <c r="Q375" s="20" t="n"/>
      <c r="R375" s="23" t="n"/>
      <c r="S375" s="23" t="n"/>
      <c r="T375" s="21" t="n"/>
      <c r="U375" s="21" t="n"/>
      <c r="V375" s="21" t="n"/>
      <c r="W375" s="21" t="n"/>
      <c r="X375" s="21" t="n"/>
      <c r="Y375" s="25">
        <f>IF($C375="","",IF(E375="XAUUSD",0.1,IF(ISNUMBER(SEARCH("JPY",E375)),0.01,0.0001)))</f>
        <v/>
      </c>
      <c r="Z375" s="18">
        <f>IF($C375="","",IF(F375="Sell",-1,1))</f>
        <v/>
      </c>
      <c r="AA375" s="18">
        <f>IF($C375="","",IF(E375="XAUUSD",100,100000))</f>
        <v/>
      </c>
      <c r="AB375" s="26">
        <f>IF(OR(K375="",L375=""),"",ABS(K375-L375)/Y375)</f>
        <v/>
      </c>
      <c r="AC375" s="26">
        <f>IF(OR(K375="",M375=""),"",ABS(M375-K375)/Y375)</f>
        <v/>
      </c>
      <c r="AD375" s="26">
        <f>IF(OR(K375="",O375=""),"",(O375-K375)*Z375/Y375)</f>
        <v/>
      </c>
      <c r="AE375" s="27">
        <f>IF(OR(AB375="",AB375=0,AC375=""),"",AC375/AB375)</f>
        <v/>
      </c>
      <c r="AF375" s="27">
        <f>IF(OR(AB375="",AB375=0,AD375=""),"",AD375/AB375)</f>
        <v/>
      </c>
      <c r="AG375" s="27">
        <f>IF(OR(C375="",P375=""),"",((P375+IF(Q375="",0,Q375))-(C375+IF(D375="",0,D375)))*24)</f>
        <v/>
      </c>
      <c r="AH375" s="18">
        <f>IF(AG375="","",INT(AG375/24)&amp;"d "&amp;INT(MOD(AG375,24))&amp;"h "&amp;INT(MOD(AG375*60,60))&amp;"m")</f>
        <v/>
      </c>
      <c r="AI375" s="28">
        <f>IF(OR(O375="",K375="",H375=""),"",IF(OR(E375="XAUUSD",RIGHT(E375,3)="USD"),(O375-K375)*Z375*AA375*H375,IF(LEFT(E375,3)="USD",IF(O375=0,"",(O375-K375)*Z375*AA375*H375/O375),AD375*10*H375)))</f>
        <v/>
      </c>
      <c r="AJ375" s="28">
        <f>IF(O375="","",IF(S375="",IF(AI375="",0,AI375),S375)-IF(R375="",0,R375))</f>
        <v/>
      </c>
      <c r="AK375" s="18">
        <f>IF(C375="","",IF(OR(O375="",P375=""),"Open",IF(ABS(AJ375)&lt;=BEThreshold,"BE",IF(AJ375&gt;0,"Win","Loss"))))</f>
        <v/>
      </c>
      <c r="AL375" s="28">
        <f>IF(OR(C375="",AK375="Open"),"",InitialCapital+SUMIFS($AJ$2:AJ375,$AK$2:AK375,"&lt;&gt;Open"))</f>
        <v/>
      </c>
      <c r="AM375" s="18">
        <f>IF(OR(C375="",AK375=""),"",IF(AK375="Open","No","Yes"))</f>
        <v/>
      </c>
    </row>
    <row r="376" ht="18" customHeight="1">
      <c r="A376" s="18">
        <f>IF(C376="","",COUNTA($C$2:C376))</f>
        <v/>
      </c>
      <c r="B376" s="18">
        <f>IF(C376="","",TEXT(C376,"dddd"))</f>
        <v/>
      </c>
      <c r="C376" s="19" t="n"/>
      <c r="D376" s="20" t="n"/>
      <c r="E376" s="21" t="n"/>
      <c r="F376" s="21" t="n"/>
      <c r="G376" s="21" t="n"/>
      <c r="H376" s="22" t="n"/>
      <c r="I376" s="23" t="n"/>
      <c r="J376" s="22" t="n"/>
      <c r="K376" s="24" t="n"/>
      <c r="L376" s="24" t="n"/>
      <c r="M376" s="24" t="n"/>
      <c r="N376" s="21" t="n"/>
      <c r="O376" s="24" t="n"/>
      <c r="P376" s="19" t="n"/>
      <c r="Q376" s="20" t="n"/>
      <c r="R376" s="23" t="n"/>
      <c r="S376" s="23" t="n"/>
      <c r="T376" s="21" t="n"/>
      <c r="U376" s="21" t="n"/>
      <c r="V376" s="21" t="n"/>
      <c r="W376" s="21" t="n"/>
      <c r="X376" s="21" t="n"/>
      <c r="Y376" s="25">
        <f>IF($C376="","",IF(E376="XAUUSD",0.1,IF(ISNUMBER(SEARCH("JPY",E376)),0.01,0.0001)))</f>
        <v/>
      </c>
      <c r="Z376" s="18">
        <f>IF($C376="","",IF(F376="Sell",-1,1))</f>
        <v/>
      </c>
      <c r="AA376" s="18">
        <f>IF($C376="","",IF(E376="XAUUSD",100,100000))</f>
        <v/>
      </c>
      <c r="AB376" s="26">
        <f>IF(OR(K376="",L376=""),"",ABS(K376-L376)/Y376)</f>
        <v/>
      </c>
      <c r="AC376" s="26">
        <f>IF(OR(K376="",M376=""),"",ABS(M376-K376)/Y376)</f>
        <v/>
      </c>
      <c r="AD376" s="26">
        <f>IF(OR(K376="",O376=""),"",(O376-K376)*Z376/Y376)</f>
        <v/>
      </c>
      <c r="AE376" s="27">
        <f>IF(OR(AB376="",AB376=0,AC376=""),"",AC376/AB376)</f>
        <v/>
      </c>
      <c r="AF376" s="27">
        <f>IF(OR(AB376="",AB376=0,AD376=""),"",AD376/AB376)</f>
        <v/>
      </c>
      <c r="AG376" s="27">
        <f>IF(OR(C376="",P376=""),"",((P376+IF(Q376="",0,Q376))-(C376+IF(D376="",0,D376)))*24)</f>
        <v/>
      </c>
      <c r="AH376" s="18">
        <f>IF(AG376="","",INT(AG376/24)&amp;"d "&amp;INT(MOD(AG376,24))&amp;"h "&amp;INT(MOD(AG376*60,60))&amp;"m")</f>
        <v/>
      </c>
      <c r="AI376" s="28">
        <f>IF(OR(O376="",K376="",H376=""),"",IF(OR(E376="XAUUSD",RIGHT(E376,3)="USD"),(O376-K376)*Z376*AA376*H376,IF(LEFT(E376,3)="USD",IF(O376=0,"",(O376-K376)*Z376*AA376*H376/O376),AD376*10*H376)))</f>
        <v/>
      </c>
      <c r="AJ376" s="28">
        <f>IF(O376="","",IF(S376="",IF(AI376="",0,AI376),S376)-IF(R376="",0,R376))</f>
        <v/>
      </c>
      <c r="AK376" s="18">
        <f>IF(C376="","",IF(OR(O376="",P376=""),"Open",IF(ABS(AJ376)&lt;=BEThreshold,"BE",IF(AJ376&gt;0,"Win","Loss"))))</f>
        <v/>
      </c>
      <c r="AL376" s="28">
        <f>IF(OR(C376="",AK376="Open"),"",InitialCapital+SUMIFS($AJ$2:AJ376,$AK$2:AK376,"&lt;&gt;Open"))</f>
        <v/>
      </c>
      <c r="AM376" s="18">
        <f>IF(OR(C376="",AK376=""),"",IF(AK376="Open","No","Yes"))</f>
        <v/>
      </c>
    </row>
    <row r="377" ht="18" customHeight="1">
      <c r="A377" s="18">
        <f>IF(C377="","",COUNTA($C$2:C377))</f>
        <v/>
      </c>
      <c r="B377" s="18">
        <f>IF(C377="","",TEXT(C377,"dddd"))</f>
        <v/>
      </c>
      <c r="C377" s="19" t="n"/>
      <c r="D377" s="20" t="n"/>
      <c r="E377" s="21" t="n"/>
      <c r="F377" s="21" t="n"/>
      <c r="G377" s="21" t="n"/>
      <c r="H377" s="22" t="n"/>
      <c r="I377" s="23" t="n"/>
      <c r="J377" s="22" t="n"/>
      <c r="K377" s="24" t="n"/>
      <c r="L377" s="24" t="n"/>
      <c r="M377" s="24" t="n"/>
      <c r="N377" s="21" t="n"/>
      <c r="O377" s="24" t="n"/>
      <c r="P377" s="19" t="n"/>
      <c r="Q377" s="20" t="n"/>
      <c r="R377" s="23" t="n"/>
      <c r="S377" s="23" t="n"/>
      <c r="T377" s="21" t="n"/>
      <c r="U377" s="21" t="n"/>
      <c r="V377" s="21" t="n"/>
      <c r="W377" s="21" t="n"/>
      <c r="X377" s="21" t="n"/>
      <c r="Y377" s="25">
        <f>IF($C377="","",IF(E377="XAUUSD",0.1,IF(ISNUMBER(SEARCH("JPY",E377)),0.01,0.0001)))</f>
        <v/>
      </c>
      <c r="Z377" s="18">
        <f>IF($C377="","",IF(F377="Sell",-1,1))</f>
        <v/>
      </c>
      <c r="AA377" s="18">
        <f>IF($C377="","",IF(E377="XAUUSD",100,100000))</f>
        <v/>
      </c>
      <c r="AB377" s="26">
        <f>IF(OR(K377="",L377=""),"",ABS(K377-L377)/Y377)</f>
        <v/>
      </c>
      <c r="AC377" s="26">
        <f>IF(OR(K377="",M377=""),"",ABS(M377-K377)/Y377)</f>
        <v/>
      </c>
      <c r="AD377" s="26">
        <f>IF(OR(K377="",O377=""),"",(O377-K377)*Z377/Y377)</f>
        <v/>
      </c>
      <c r="AE377" s="27">
        <f>IF(OR(AB377="",AB377=0,AC377=""),"",AC377/AB377)</f>
        <v/>
      </c>
      <c r="AF377" s="27">
        <f>IF(OR(AB377="",AB377=0,AD377=""),"",AD377/AB377)</f>
        <v/>
      </c>
      <c r="AG377" s="27">
        <f>IF(OR(C377="",P377=""),"",((P377+IF(Q377="",0,Q377))-(C377+IF(D377="",0,D377)))*24)</f>
        <v/>
      </c>
      <c r="AH377" s="18">
        <f>IF(AG377="","",INT(AG377/24)&amp;"d "&amp;INT(MOD(AG377,24))&amp;"h "&amp;INT(MOD(AG377*60,60))&amp;"m")</f>
        <v/>
      </c>
      <c r="AI377" s="28">
        <f>IF(OR(O377="",K377="",H377=""),"",IF(OR(E377="XAUUSD",RIGHT(E377,3)="USD"),(O377-K377)*Z377*AA377*H377,IF(LEFT(E377,3)="USD",IF(O377=0,"",(O377-K377)*Z377*AA377*H377/O377),AD377*10*H377)))</f>
        <v/>
      </c>
      <c r="AJ377" s="28">
        <f>IF(O377="","",IF(S377="",IF(AI377="",0,AI377),S377)-IF(R377="",0,R377))</f>
        <v/>
      </c>
      <c r="AK377" s="18">
        <f>IF(C377="","",IF(OR(O377="",P377=""),"Open",IF(ABS(AJ377)&lt;=BEThreshold,"BE",IF(AJ377&gt;0,"Win","Loss"))))</f>
        <v/>
      </c>
      <c r="AL377" s="28">
        <f>IF(OR(C377="",AK377="Open"),"",InitialCapital+SUMIFS($AJ$2:AJ377,$AK$2:AK377,"&lt;&gt;Open"))</f>
        <v/>
      </c>
      <c r="AM377" s="18">
        <f>IF(OR(C377="",AK377=""),"",IF(AK377="Open","No","Yes"))</f>
        <v/>
      </c>
    </row>
    <row r="378" ht="18" customHeight="1">
      <c r="A378" s="18">
        <f>IF(C378="","",COUNTA($C$2:C378))</f>
        <v/>
      </c>
      <c r="B378" s="18">
        <f>IF(C378="","",TEXT(C378,"dddd"))</f>
        <v/>
      </c>
      <c r="C378" s="19" t="n"/>
      <c r="D378" s="20" t="n"/>
      <c r="E378" s="21" t="n"/>
      <c r="F378" s="21" t="n"/>
      <c r="G378" s="21" t="n"/>
      <c r="H378" s="22" t="n"/>
      <c r="I378" s="23" t="n"/>
      <c r="J378" s="22" t="n"/>
      <c r="K378" s="24" t="n"/>
      <c r="L378" s="24" t="n"/>
      <c r="M378" s="24" t="n"/>
      <c r="N378" s="21" t="n"/>
      <c r="O378" s="24" t="n"/>
      <c r="P378" s="19" t="n"/>
      <c r="Q378" s="20" t="n"/>
      <c r="R378" s="23" t="n"/>
      <c r="S378" s="23" t="n"/>
      <c r="T378" s="21" t="n"/>
      <c r="U378" s="21" t="n"/>
      <c r="V378" s="21" t="n"/>
      <c r="W378" s="21" t="n"/>
      <c r="X378" s="21" t="n"/>
      <c r="Y378" s="25">
        <f>IF($C378="","",IF(E378="XAUUSD",0.1,IF(ISNUMBER(SEARCH("JPY",E378)),0.01,0.0001)))</f>
        <v/>
      </c>
      <c r="Z378" s="18">
        <f>IF($C378="","",IF(F378="Sell",-1,1))</f>
        <v/>
      </c>
      <c r="AA378" s="18">
        <f>IF($C378="","",IF(E378="XAUUSD",100,100000))</f>
        <v/>
      </c>
      <c r="AB378" s="26">
        <f>IF(OR(K378="",L378=""),"",ABS(K378-L378)/Y378)</f>
        <v/>
      </c>
      <c r="AC378" s="26">
        <f>IF(OR(K378="",M378=""),"",ABS(M378-K378)/Y378)</f>
        <v/>
      </c>
      <c r="AD378" s="26">
        <f>IF(OR(K378="",O378=""),"",(O378-K378)*Z378/Y378)</f>
        <v/>
      </c>
      <c r="AE378" s="27">
        <f>IF(OR(AB378="",AB378=0,AC378=""),"",AC378/AB378)</f>
        <v/>
      </c>
      <c r="AF378" s="27">
        <f>IF(OR(AB378="",AB378=0,AD378=""),"",AD378/AB378)</f>
        <v/>
      </c>
      <c r="AG378" s="27">
        <f>IF(OR(C378="",P378=""),"",((P378+IF(Q378="",0,Q378))-(C378+IF(D378="",0,D378)))*24)</f>
        <v/>
      </c>
      <c r="AH378" s="18">
        <f>IF(AG378="","",INT(AG378/24)&amp;"d "&amp;INT(MOD(AG378,24))&amp;"h "&amp;INT(MOD(AG378*60,60))&amp;"m")</f>
        <v/>
      </c>
      <c r="AI378" s="28">
        <f>IF(OR(O378="",K378="",H378=""),"",IF(OR(E378="XAUUSD",RIGHT(E378,3)="USD"),(O378-K378)*Z378*AA378*H378,IF(LEFT(E378,3)="USD",IF(O378=0,"",(O378-K378)*Z378*AA378*H378/O378),AD378*10*H378)))</f>
        <v/>
      </c>
      <c r="AJ378" s="28">
        <f>IF(O378="","",IF(S378="",IF(AI378="",0,AI378),S378)-IF(R378="",0,R378))</f>
        <v/>
      </c>
      <c r="AK378" s="18">
        <f>IF(C378="","",IF(OR(O378="",P378=""),"Open",IF(ABS(AJ378)&lt;=BEThreshold,"BE",IF(AJ378&gt;0,"Win","Loss"))))</f>
        <v/>
      </c>
      <c r="AL378" s="28">
        <f>IF(OR(C378="",AK378="Open"),"",InitialCapital+SUMIFS($AJ$2:AJ378,$AK$2:AK378,"&lt;&gt;Open"))</f>
        <v/>
      </c>
      <c r="AM378" s="18">
        <f>IF(OR(C378="",AK378=""),"",IF(AK378="Open","No","Yes"))</f>
        <v/>
      </c>
    </row>
    <row r="379" ht="18" customHeight="1">
      <c r="A379" s="18">
        <f>IF(C379="","",COUNTA($C$2:C379))</f>
        <v/>
      </c>
      <c r="B379" s="18">
        <f>IF(C379="","",TEXT(C379,"dddd"))</f>
        <v/>
      </c>
      <c r="C379" s="19" t="n"/>
      <c r="D379" s="20" t="n"/>
      <c r="E379" s="21" t="n"/>
      <c r="F379" s="21" t="n"/>
      <c r="G379" s="21" t="n"/>
      <c r="H379" s="22" t="n"/>
      <c r="I379" s="23" t="n"/>
      <c r="J379" s="22" t="n"/>
      <c r="K379" s="24" t="n"/>
      <c r="L379" s="24" t="n"/>
      <c r="M379" s="24" t="n"/>
      <c r="N379" s="21" t="n"/>
      <c r="O379" s="24" t="n"/>
      <c r="P379" s="19" t="n"/>
      <c r="Q379" s="20" t="n"/>
      <c r="R379" s="23" t="n"/>
      <c r="S379" s="23" t="n"/>
      <c r="T379" s="21" t="n"/>
      <c r="U379" s="21" t="n"/>
      <c r="V379" s="21" t="n"/>
      <c r="W379" s="21" t="n"/>
      <c r="X379" s="21" t="n"/>
      <c r="Y379" s="25">
        <f>IF($C379="","",IF(E379="XAUUSD",0.1,IF(ISNUMBER(SEARCH("JPY",E379)),0.01,0.0001)))</f>
        <v/>
      </c>
      <c r="Z379" s="18">
        <f>IF($C379="","",IF(F379="Sell",-1,1))</f>
        <v/>
      </c>
      <c r="AA379" s="18">
        <f>IF($C379="","",IF(E379="XAUUSD",100,100000))</f>
        <v/>
      </c>
      <c r="AB379" s="26">
        <f>IF(OR(K379="",L379=""),"",ABS(K379-L379)/Y379)</f>
        <v/>
      </c>
      <c r="AC379" s="26">
        <f>IF(OR(K379="",M379=""),"",ABS(M379-K379)/Y379)</f>
        <v/>
      </c>
      <c r="AD379" s="26">
        <f>IF(OR(K379="",O379=""),"",(O379-K379)*Z379/Y379)</f>
        <v/>
      </c>
      <c r="AE379" s="27">
        <f>IF(OR(AB379="",AB379=0,AC379=""),"",AC379/AB379)</f>
        <v/>
      </c>
      <c r="AF379" s="27">
        <f>IF(OR(AB379="",AB379=0,AD379=""),"",AD379/AB379)</f>
        <v/>
      </c>
      <c r="AG379" s="27">
        <f>IF(OR(C379="",P379=""),"",((P379+IF(Q379="",0,Q379))-(C379+IF(D379="",0,D379)))*24)</f>
        <v/>
      </c>
      <c r="AH379" s="18">
        <f>IF(AG379="","",INT(AG379/24)&amp;"d "&amp;INT(MOD(AG379,24))&amp;"h "&amp;INT(MOD(AG379*60,60))&amp;"m")</f>
        <v/>
      </c>
      <c r="AI379" s="28">
        <f>IF(OR(O379="",K379="",H379=""),"",IF(OR(E379="XAUUSD",RIGHT(E379,3)="USD"),(O379-K379)*Z379*AA379*H379,IF(LEFT(E379,3)="USD",IF(O379=0,"",(O379-K379)*Z379*AA379*H379/O379),AD379*10*H379)))</f>
        <v/>
      </c>
      <c r="AJ379" s="28">
        <f>IF(O379="","",IF(S379="",IF(AI379="",0,AI379),S379)-IF(R379="",0,R379))</f>
        <v/>
      </c>
      <c r="AK379" s="18">
        <f>IF(C379="","",IF(OR(O379="",P379=""),"Open",IF(ABS(AJ379)&lt;=BEThreshold,"BE",IF(AJ379&gt;0,"Win","Loss"))))</f>
        <v/>
      </c>
      <c r="AL379" s="28">
        <f>IF(OR(C379="",AK379="Open"),"",InitialCapital+SUMIFS($AJ$2:AJ379,$AK$2:AK379,"&lt;&gt;Open"))</f>
        <v/>
      </c>
      <c r="AM379" s="18">
        <f>IF(OR(C379="",AK379=""),"",IF(AK379="Open","No","Yes"))</f>
        <v/>
      </c>
    </row>
    <row r="380" ht="18" customHeight="1">
      <c r="A380" s="18">
        <f>IF(C380="","",COUNTA($C$2:C380))</f>
        <v/>
      </c>
      <c r="B380" s="18">
        <f>IF(C380="","",TEXT(C380,"dddd"))</f>
        <v/>
      </c>
      <c r="C380" s="19" t="n"/>
      <c r="D380" s="20" t="n"/>
      <c r="E380" s="21" t="n"/>
      <c r="F380" s="21" t="n"/>
      <c r="G380" s="21" t="n"/>
      <c r="H380" s="22" t="n"/>
      <c r="I380" s="23" t="n"/>
      <c r="J380" s="22" t="n"/>
      <c r="K380" s="24" t="n"/>
      <c r="L380" s="24" t="n"/>
      <c r="M380" s="24" t="n"/>
      <c r="N380" s="21" t="n"/>
      <c r="O380" s="24" t="n"/>
      <c r="P380" s="19" t="n"/>
      <c r="Q380" s="20" t="n"/>
      <c r="R380" s="23" t="n"/>
      <c r="S380" s="23" t="n"/>
      <c r="T380" s="21" t="n"/>
      <c r="U380" s="21" t="n"/>
      <c r="V380" s="21" t="n"/>
      <c r="W380" s="21" t="n"/>
      <c r="X380" s="21" t="n"/>
      <c r="Y380" s="25">
        <f>IF($C380="","",IF(E380="XAUUSD",0.1,IF(ISNUMBER(SEARCH("JPY",E380)),0.01,0.0001)))</f>
        <v/>
      </c>
      <c r="Z380" s="18">
        <f>IF($C380="","",IF(F380="Sell",-1,1))</f>
        <v/>
      </c>
      <c r="AA380" s="18">
        <f>IF($C380="","",IF(E380="XAUUSD",100,100000))</f>
        <v/>
      </c>
      <c r="AB380" s="26">
        <f>IF(OR(K380="",L380=""),"",ABS(K380-L380)/Y380)</f>
        <v/>
      </c>
      <c r="AC380" s="26">
        <f>IF(OR(K380="",M380=""),"",ABS(M380-K380)/Y380)</f>
        <v/>
      </c>
      <c r="AD380" s="26">
        <f>IF(OR(K380="",O380=""),"",(O380-K380)*Z380/Y380)</f>
        <v/>
      </c>
      <c r="AE380" s="27">
        <f>IF(OR(AB380="",AB380=0,AC380=""),"",AC380/AB380)</f>
        <v/>
      </c>
      <c r="AF380" s="27">
        <f>IF(OR(AB380="",AB380=0,AD380=""),"",AD380/AB380)</f>
        <v/>
      </c>
      <c r="AG380" s="27">
        <f>IF(OR(C380="",P380=""),"",((P380+IF(Q380="",0,Q380))-(C380+IF(D380="",0,D380)))*24)</f>
        <v/>
      </c>
      <c r="AH380" s="18">
        <f>IF(AG380="","",INT(AG380/24)&amp;"d "&amp;INT(MOD(AG380,24))&amp;"h "&amp;INT(MOD(AG380*60,60))&amp;"m")</f>
        <v/>
      </c>
      <c r="AI380" s="28">
        <f>IF(OR(O380="",K380="",H380=""),"",IF(OR(E380="XAUUSD",RIGHT(E380,3)="USD"),(O380-K380)*Z380*AA380*H380,IF(LEFT(E380,3)="USD",IF(O380=0,"",(O380-K380)*Z380*AA380*H380/O380),AD380*10*H380)))</f>
        <v/>
      </c>
      <c r="AJ380" s="28">
        <f>IF(O380="","",IF(S380="",IF(AI380="",0,AI380),S380)-IF(R380="",0,R380))</f>
        <v/>
      </c>
      <c r="AK380" s="18">
        <f>IF(C380="","",IF(OR(O380="",P380=""),"Open",IF(ABS(AJ380)&lt;=BEThreshold,"BE",IF(AJ380&gt;0,"Win","Loss"))))</f>
        <v/>
      </c>
      <c r="AL380" s="28">
        <f>IF(OR(C380="",AK380="Open"),"",InitialCapital+SUMIFS($AJ$2:AJ380,$AK$2:AK380,"&lt;&gt;Open"))</f>
        <v/>
      </c>
      <c r="AM380" s="18">
        <f>IF(OR(C380="",AK380=""),"",IF(AK380="Open","No","Yes"))</f>
        <v/>
      </c>
    </row>
    <row r="381" ht="18" customHeight="1">
      <c r="A381" s="18">
        <f>IF(C381="","",COUNTA($C$2:C381))</f>
        <v/>
      </c>
      <c r="B381" s="18">
        <f>IF(C381="","",TEXT(C381,"dddd"))</f>
        <v/>
      </c>
      <c r="C381" s="19" t="n"/>
      <c r="D381" s="20" t="n"/>
      <c r="E381" s="21" t="n"/>
      <c r="F381" s="21" t="n"/>
      <c r="G381" s="21" t="n"/>
      <c r="H381" s="22" t="n"/>
      <c r="I381" s="23" t="n"/>
      <c r="J381" s="22" t="n"/>
      <c r="K381" s="24" t="n"/>
      <c r="L381" s="24" t="n"/>
      <c r="M381" s="24" t="n"/>
      <c r="N381" s="21" t="n"/>
      <c r="O381" s="24" t="n"/>
      <c r="P381" s="19" t="n"/>
      <c r="Q381" s="20" t="n"/>
      <c r="R381" s="23" t="n"/>
      <c r="S381" s="23" t="n"/>
      <c r="T381" s="21" t="n"/>
      <c r="U381" s="21" t="n"/>
      <c r="V381" s="21" t="n"/>
      <c r="W381" s="21" t="n"/>
      <c r="X381" s="21" t="n"/>
      <c r="Y381" s="25">
        <f>IF($C381="","",IF(E381="XAUUSD",0.1,IF(ISNUMBER(SEARCH("JPY",E381)),0.01,0.0001)))</f>
        <v/>
      </c>
      <c r="Z381" s="18">
        <f>IF($C381="","",IF(F381="Sell",-1,1))</f>
        <v/>
      </c>
      <c r="AA381" s="18">
        <f>IF($C381="","",IF(E381="XAUUSD",100,100000))</f>
        <v/>
      </c>
      <c r="AB381" s="26">
        <f>IF(OR(K381="",L381=""),"",ABS(K381-L381)/Y381)</f>
        <v/>
      </c>
      <c r="AC381" s="26">
        <f>IF(OR(K381="",M381=""),"",ABS(M381-K381)/Y381)</f>
        <v/>
      </c>
      <c r="AD381" s="26">
        <f>IF(OR(K381="",O381=""),"",(O381-K381)*Z381/Y381)</f>
        <v/>
      </c>
      <c r="AE381" s="27">
        <f>IF(OR(AB381="",AB381=0,AC381=""),"",AC381/AB381)</f>
        <v/>
      </c>
      <c r="AF381" s="27">
        <f>IF(OR(AB381="",AB381=0,AD381=""),"",AD381/AB381)</f>
        <v/>
      </c>
      <c r="AG381" s="27">
        <f>IF(OR(C381="",P381=""),"",((P381+IF(Q381="",0,Q381))-(C381+IF(D381="",0,D381)))*24)</f>
        <v/>
      </c>
      <c r="AH381" s="18">
        <f>IF(AG381="","",INT(AG381/24)&amp;"d "&amp;INT(MOD(AG381,24))&amp;"h "&amp;INT(MOD(AG381*60,60))&amp;"m")</f>
        <v/>
      </c>
      <c r="AI381" s="28">
        <f>IF(OR(O381="",K381="",H381=""),"",IF(OR(E381="XAUUSD",RIGHT(E381,3)="USD"),(O381-K381)*Z381*AA381*H381,IF(LEFT(E381,3)="USD",IF(O381=0,"",(O381-K381)*Z381*AA381*H381/O381),AD381*10*H381)))</f>
        <v/>
      </c>
      <c r="AJ381" s="28">
        <f>IF(O381="","",IF(S381="",IF(AI381="",0,AI381),S381)-IF(R381="",0,R381))</f>
        <v/>
      </c>
      <c r="AK381" s="18">
        <f>IF(C381="","",IF(OR(O381="",P381=""),"Open",IF(ABS(AJ381)&lt;=BEThreshold,"BE",IF(AJ381&gt;0,"Win","Loss"))))</f>
        <v/>
      </c>
      <c r="AL381" s="28">
        <f>IF(OR(C381="",AK381="Open"),"",InitialCapital+SUMIFS($AJ$2:AJ381,$AK$2:AK381,"&lt;&gt;Open"))</f>
        <v/>
      </c>
      <c r="AM381" s="18">
        <f>IF(OR(C381="",AK381=""),"",IF(AK381="Open","No","Yes"))</f>
        <v/>
      </c>
    </row>
    <row r="382" ht="18" customHeight="1">
      <c r="A382" s="18">
        <f>IF(C382="","",COUNTA($C$2:C382))</f>
        <v/>
      </c>
      <c r="B382" s="18">
        <f>IF(C382="","",TEXT(C382,"dddd"))</f>
        <v/>
      </c>
      <c r="C382" s="19" t="n"/>
      <c r="D382" s="20" t="n"/>
      <c r="E382" s="21" t="n"/>
      <c r="F382" s="21" t="n"/>
      <c r="G382" s="21" t="n"/>
      <c r="H382" s="22" t="n"/>
      <c r="I382" s="23" t="n"/>
      <c r="J382" s="22" t="n"/>
      <c r="K382" s="24" t="n"/>
      <c r="L382" s="24" t="n"/>
      <c r="M382" s="24" t="n"/>
      <c r="N382" s="21" t="n"/>
      <c r="O382" s="24" t="n"/>
      <c r="P382" s="19" t="n"/>
      <c r="Q382" s="20" t="n"/>
      <c r="R382" s="23" t="n"/>
      <c r="S382" s="23" t="n"/>
      <c r="T382" s="21" t="n"/>
      <c r="U382" s="21" t="n"/>
      <c r="V382" s="21" t="n"/>
      <c r="W382" s="21" t="n"/>
      <c r="X382" s="21" t="n"/>
      <c r="Y382" s="25">
        <f>IF($C382="","",IF(E382="XAUUSD",0.1,IF(ISNUMBER(SEARCH("JPY",E382)),0.01,0.0001)))</f>
        <v/>
      </c>
      <c r="Z382" s="18">
        <f>IF($C382="","",IF(F382="Sell",-1,1))</f>
        <v/>
      </c>
      <c r="AA382" s="18">
        <f>IF($C382="","",IF(E382="XAUUSD",100,100000))</f>
        <v/>
      </c>
      <c r="AB382" s="26">
        <f>IF(OR(K382="",L382=""),"",ABS(K382-L382)/Y382)</f>
        <v/>
      </c>
      <c r="AC382" s="26">
        <f>IF(OR(K382="",M382=""),"",ABS(M382-K382)/Y382)</f>
        <v/>
      </c>
      <c r="AD382" s="26">
        <f>IF(OR(K382="",O382=""),"",(O382-K382)*Z382/Y382)</f>
        <v/>
      </c>
      <c r="AE382" s="27">
        <f>IF(OR(AB382="",AB382=0,AC382=""),"",AC382/AB382)</f>
        <v/>
      </c>
      <c r="AF382" s="27">
        <f>IF(OR(AB382="",AB382=0,AD382=""),"",AD382/AB382)</f>
        <v/>
      </c>
      <c r="AG382" s="27">
        <f>IF(OR(C382="",P382=""),"",((P382+IF(Q382="",0,Q382))-(C382+IF(D382="",0,D382)))*24)</f>
        <v/>
      </c>
      <c r="AH382" s="18">
        <f>IF(AG382="","",INT(AG382/24)&amp;"d "&amp;INT(MOD(AG382,24))&amp;"h "&amp;INT(MOD(AG382*60,60))&amp;"m")</f>
        <v/>
      </c>
      <c r="AI382" s="28">
        <f>IF(OR(O382="",K382="",H382=""),"",IF(OR(E382="XAUUSD",RIGHT(E382,3)="USD"),(O382-K382)*Z382*AA382*H382,IF(LEFT(E382,3)="USD",IF(O382=0,"",(O382-K382)*Z382*AA382*H382/O382),AD382*10*H382)))</f>
        <v/>
      </c>
      <c r="AJ382" s="28">
        <f>IF(O382="","",IF(S382="",IF(AI382="",0,AI382),S382)-IF(R382="",0,R382))</f>
        <v/>
      </c>
      <c r="AK382" s="18">
        <f>IF(C382="","",IF(OR(O382="",P382=""),"Open",IF(ABS(AJ382)&lt;=BEThreshold,"BE",IF(AJ382&gt;0,"Win","Loss"))))</f>
        <v/>
      </c>
      <c r="AL382" s="28">
        <f>IF(OR(C382="",AK382="Open"),"",InitialCapital+SUMIFS($AJ$2:AJ382,$AK$2:AK382,"&lt;&gt;Open"))</f>
        <v/>
      </c>
      <c r="AM382" s="18">
        <f>IF(OR(C382="",AK382=""),"",IF(AK382="Open","No","Yes"))</f>
        <v/>
      </c>
    </row>
    <row r="383" ht="18" customHeight="1">
      <c r="A383" s="18">
        <f>IF(C383="","",COUNTA($C$2:C383))</f>
        <v/>
      </c>
      <c r="B383" s="18">
        <f>IF(C383="","",TEXT(C383,"dddd"))</f>
        <v/>
      </c>
      <c r="C383" s="19" t="n"/>
      <c r="D383" s="20" t="n"/>
      <c r="E383" s="21" t="n"/>
      <c r="F383" s="21" t="n"/>
      <c r="G383" s="21" t="n"/>
      <c r="H383" s="22" t="n"/>
      <c r="I383" s="23" t="n"/>
      <c r="J383" s="22" t="n"/>
      <c r="K383" s="24" t="n"/>
      <c r="L383" s="24" t="n"/>
      <c r="M383" s="24" t="n"/>
      <c r="N383" s="21" t="n"/>
      <c r="O383" s="24" t="n"/>
      <c r="P383" s="19" t="n"/>
      <c r="Q383" s="20" t="n"/>
      <c r="R383" s="23" t="n"/>
      <c r="S383" s="23" t="n"/>
      <c r="T383" s="21" t="n"/>
      <c r="U383" s="21" t="n"/>
      <c r="V383" s="21" t="n"/>
      <c r="W383" s="21" t="n"/>
      <c r="X383" s="21" t="n"/>
      <c r="Y383" s="25">
        <f>IF($C383="","",IF(E383="XAUUSD",0.1,IF(ISNUMBER(SEARCH("JPY",E383)),0.01,0.0001)))</f>
        <v/>
      </c>
      <c r="Z383" s="18">
        <f>IF($C383="","",IF(F383="Sell",-1,1))</f>
        <v/>
      </c>
      <c r="AA383" s="18">
        <f>IF($C383="","",IF(E383="XAUUSD",100,100000))</f>
        <v/>
      </c>
      <c r="AB383" s="26">
        <f>IF(OR(K383="",L383=""),"",ABS(K383-L383)/Y383)</f>
        <v/>
      </c>
      <c r="AC383" s="26">
        <f>IF(OR(K383="",M383=""),"",ABS(M383-K383)/Y383)</f>
        <v/>
      </c>
      <c r="AD383" s="26">
        <f>IF(OR(K383="",O383=""),"",(O383-K383)*Z383/Y383)</f>
        <v/>
      </c>
      <c r="AE383" s="27">
        <f>IF(OR(AB383="",AB383=0,AC383=""),"",AC383/AB383)</f>
        <v/>
      </c>
      <c r="AF383" s="27">
        <f>IF(OR(AB383="",AB383=0,AD383=""),"",AD383/AB383)</f>
        <v/>
      </c>
      <c r="AG383" s="27">
        <f>IF(OR(C383="",P383=""),"",((P383+IF(Q383="",0,Q383))-(C383+IF(D383="",0,D383)))*24)</f>
        <v/>
      </c>
      <c r="AH383" s="18">
        <f>IF(AG383="","",INT(AG383/24)&amp;"d "&amp;INT(MOD(AG383,24))&amp;"h "&amp;INT(MOD(AG383*60,60))&amp;"m")</f>
        <v/>
      </c>
      <c r="AI383" s="28">
        <f>IF(OR(O383="",K383="",H383=""),"",IF(OR(E383="XAUUSD",RIGHT(E383,3)="USD"),(O383-K383)*Z383*AA383*H383,IF(LEFT(E383,3)="USD",IF(O383=0,"",(O383-K383)*Z383*AA383*H383/O383),AD383*10*H383)))</f>
        <v/>
      </c>
      <c r="AJ383" s="28">
        <f>IF(O383="","",IF(S383="",IF(AI383="",0,AI383),S383)-IF(R383="",0,R383))</f>
        <v/>
      </c>
      <c r="AK383" s="18">
        <f>IF(C383="","",IF(OR(O383="",P383=""),"Open",IF(ABS(AJ383)&lt;=BEThreshold,"BE",IF(AJ383&gt;0,"Win","Loss"))))</f>
        <v/>
      </c>
      <c r="AL383" s="28">
        <f>IF(OR(C383="",AK383="Open"),"",InitialCapital+SUMIFS($AJ$2:AJ383,$AK$2:AK383,"&lt;&gt;Open"))</f>
        <v/>
      </c>
      <c r="AM383" s="18">
        <f>IF(OR(C383="",AK383=""),"",IF(AK383="Open","No","Yes"))</f>
        <v/>
      </c>
    </row>
    <row r="384" ht="18" customHeight="1">
      <c r="A384" s="18">
        <f>IF(C384="","",COUNTA($C$2:C384))</f>
        <v/>
      </c>
      <c r="B384" s="18">
        <f>IF(C384="","",TEXT(C384,"dddd"))</f>
        <v/>
      </c>
      <c r="C384" s="19" t="n"/>
      <c r="D384" s="20" t="n"/>
      <c r="E384" s="21" t="n"/>
      <c r="F384" s="21" t="n"/>
      <c r="G384" s="21" t="n"/>
      <c r="H384" s="22" t="n"/>
      <c r="I384" s="23" t="n"/>
      <c r="J384" s="22" t="n"/>
      <c r="K384" s="24" t="n"/>
      <c r="L384" s="24" t="n"/>
      <c r="M384" s="24" t="n"/>
      <c r="N384" s="21" t="n"/>
      <c r="O384" s="24" t="n"/>
      <c r="P384" s="19" t="n"/>
      <c r="Q384" s="20" t="n"/>
      <c r="R384" s="23" t="n"/>
      <c r="S384" s="23" t="n"/>
      <c r="T384" s="21" t="n"/>
      <c r="U384" s="21" t="n"/>
      <c r="V384" s="21" t="n"/>
      <c r="W384" s="21" t="n"/>
      <c r="X384" s="21" t="n"/>
      <c r="Y384" s="25">
        <f>IF($C384="","",IF(E384="XAUUSD",0.1,IF(ISNUMBER(SEARCH("JPY",E384)),0.01,0.0001)))</f>
        <v/>
      </c>
      <c r="Z384" s="18">
        <f>IF($C384="","",IF(F384="Sell",-1,1))</f>
        <v/>
      </c>
      <c r="AA384" s="18">
        <f>IF($C384="","",IF(E384="XAUUSD",100,100000))</f>
        <v/>
      </c>
      <c r="AB384" s="26">
        <f>IF(OR(K384="",L384=""),"",ABS(K384-L384)/Y384)</f>
        <v/>
      </c>
      <c r="AC384" s="26">
        <f>IF(OR(K384="",M384=""),"",ABS(M384-K384)/Y384)</f>
        <v/>
      </c>
      <c r="AD384" s="26">
        <f>IF(OR(K384="",O384=""),"",(O384-K384)*Z384/Y384)</f>
        <v/>
      </c>
      <c r="AE384" s="27">
        <f>IF(OR(AB384="",AB384=0,AC384=""),"",AC384/AB384)</f>
        <v/>
      </c>
      <c r="AF384" s="27">
        <f>IF(OR(AB384="",AB384=0,AD384=""),"",AD384/AB384)</f>
        <v/>
      </c>
      <c r="AG384" s="27">
        <f>IF(OR(C384="",P384=""),"",((P384+IF(Q384="",0,Q384))-(C384+IF(D384="",0,D384)))*24)</f>
        <v/>
      </c>
      <c r="AH384" s="18">
        <f>IF(AG384="","",INT(AG384/24)&amp;"d "&amp;INT(MOD(AG384,24))&amp;"h "&amp;INT(MOD(AG384*60,60))&amp;"m")</f>
        <v/>
      </c>
      <c r="AI384" s="28">
        <f>IF(OR(O384="",K384="",H384=""),"",IF(OR(E384="XAUUSD",RIGHT(E384,3)="USD"),(O384-K384)*Z384*AA384*H384,IF(LEFT(E384,3)="USD",IF(O384=0,"",(O384-K384)*Z384*AA384*H384/O384),AD384*10*H384)))</f>
        <v/>
      </c>
      <c r="AJ384" s="28">
        <f>IF(O384="","",IF(S384="",IF(AI384="",0,AI384),S384)-IF(R384="",0,R384))</f>
        <v/>
      </c>
      <c r="AK384" s="18">
        <f>IF(C384="","",IF(OR(O384="",P384=""),"Open",IF(ABS(AJ384)&lt;=BEThreshold,"BE",IF(AJ384&gt;0,"Win","Loss"))))</f>
        <v/>
      </c>
      <c r="AL384" s="28">
        <f>IF(OR(C384="",AK384="Open"),"",InitialCapital+SUMIFS($AJ$2:AJ384,$AK$2:AK384,"&lt;&gt;Open"))</f>
        <v/>
      </c>
      <c r="AM384" s="18">
        <f>IF(OR(C384="",AK384=""),"",IF(AK384="Open","No","Yes"))</f>
        <v/>
      </c>
    </row>
    <row r="385" ht="18" customHeight="1">
      <c r="A385" s="18">
        <f>IF(C385="","",COUNTA($C$2:C385))</f>
        <v/>
      </c>
      <c r="B385" s="18">
        <f>IF(C385="","",TEXT(C385,"dddd"))</f>
        <v/>
      </c>
      <c r="C385" s="19" t="n"/>
      <c r="D385" s="20" t="n"/>
      <c r="E385" s="21" t="n"/>
      <c r="F385" s="21" t="n"/>
      <c r="G385" s="21" t="n"/>
      <c r="H385" s="22" t="n"/>
      <c r="I385" s="23" t="n"/>
      <c r="J385" s="22" t="n"/>
      <c r="K385" s="24" t="n"/>
      <c r="L385" s="24" t="n"/>
      <c r="M385" s="24" t="n"/>
      <c r="N385" s="21" t="n"/>
      <c r="O385" s="24" t="n"/>
      <c r="P385" s="19" t="n"/>
      <c r="Q385" s="20" t="n"/>
      <c r="R385" s="23" t="n"/>
      <c r="S385" s="23" t="n"/>
      <c r="T385" s="21" t="n"/>
      <c r="U385" s="21" t="n"/>
      <c r="V385" s="21" t="n"/>
      <c r="W385" s="21" t="n"/>
      <c r="X385" s="21" t="n"/>
      <c r="Y385" s="25">
        <f>IF($C385="","",IF(E385="XAUUSD",0.1,IF(ISNUMBER(SEARCH("JPY",E385)),0.01,0.0001)))</f>
        <v/>
      </c>
      <c r="Z385" s="18">
        <f>IF($C385="","",IF(F385="Sell",-1,1))</f>
        <v/>
      </c>
      <c r="AA385" s="18">
        <f>IF($C385="","",IF(E385="XAUUSD",100,100000))</f>
        <v/>
      </c>
      <c r="AB385" s="26">
        <f>IF(OR(K385="",L385=""),"",ABS(K385-L385)/Y385)</f>
        <v/>
      </c>
      <c r="AC385" s="26">
        <f>IF(OR(K385="",M385=""),"",ABS(M385-K385)/Y385)</f>
        <v/>
      </c>
      <c r="AD385" s="26">
        <f>IF(OR(K385="",O385=""),"",(O385-K385)*Z385/Y385)</f>
        <v/>
      </c>
      <c r="AE385" s="27">
        <f>IF(OR(AB385="",AB385=0,AC385=""),"",AC385/AB385)</f>
        <v/>
      </c>
      <c r="AF385" s="27">
        <f>IF(OR(AB385="",AB385=0,AD385=""),"",AD385/AB385)</f>
        <v/>
      </c>
      <c r="AG385" s="27">
        <f>IF(OR(C385="",P385=""),"",((P385+IF(Q385="",0,Q385))-(C385+IF(D385="",0,D385)))*24)</f>
        <v/>
      </c>
      <c r="AH385" s="18">
        <f>IF(AG385="","",INT(AG385/24)&amp;"d "&amp;INT(MOD(AG385,24))&amp;"h "&amp;INT(MOD(AG385*60,60))&amp;"m")</f>
        <v/>
      </c>
      <c r="AI385" s="28">
        <f>IF(OR(O385="",K385="",H385=""),"",IF(OR(E385="XAUUSD",RIGHT(E385,3)="USD"),(O385-K385)*Z385*AA385*H385,IF(LEFT(E385,3)="USD",IF(O385=0,"",(O385-K385)*Z385*AA385*H385/O385),AD385*10*H385)))</f>
        <v/>
      </c>
      <c r="AJ385" s="28">
        <f>IF(O385="","",IF(S385="",IF(AI385="",0,AI385),S385)-IF(R385="",0,R385))</f>
        <v/>
      </c>
      <c r="AK385" s="18">
        <f>IF(C385="","",IF(OR(O385="",P385=""),"Open",IF(ABS(AJ385)&lt;=BEThreshold,"BE",IF(AJ385&gt;0,"Win","Loss"))))</f>
        <v/>
      </c>
      <c r="AL385" s="28">
        <f>IF(OR(C385="",AK385="Open"),"",InitialCapital+SUMIFS($AJ$2:AJ385,$AK$2:AK385,"&lt;&gt;Open"))</f>
        <v/>
      </c>
      <c r="AM385" s="18">
        <f>IF(OR(C385="",AK385=""),"",IF(AK385="Open","No","Yes"))</f>
        <v/>
      </c>
    </row>
    <row r="386" ht="18" customHeight="1">
      <c r="A386" s="18">
        <f>IF(C386="","",COUNTA($C$2:C386))</f>
        <v/>
      </c>
      <c r="B386" s="18">
        <f>IF(C386="","",TEXT(C386,"dddd"))</f>
        <v/>
      </c>
      <c r="C386" s="19" t="n"/>
      <c r="D386" s="20" t="n"/>
      <c r="E386" s="21" t="n"/>
      <c r="F386" s="21" t="n"/>
      <c r="G386" s="21" t="n"/>
      <c r="H386" s="22" t="n"/>
      <c r="I386" s="23" t="n"/>
      <c r="J386" s="22" t="n"/>
      <c r="K386" s="24" t="n"/>
      <c r="L386" s="24" t="n"/>
      <c r="M386" s="24" t="n"/>
      <c r="N386" s="21" t="n"/>
      <c r="O386" s="24" t="n"/>
      <c r="P386" s="19" t="n"/>
      <c r="Q386" s="20" t="n"/>
      <c r="R386" s="23" t="n"/>
      <c r="S386" s="23" t="n"/>
      <c r="T386" s="21" t="n"/>
      <c r="U386" s="21" t="n"/>
      <c r="V386" s="21" t="n"/>
      <c r="W386" s="21" t="n"/>
      <c r="X386" s="21" t="n"/>
      <c r="Y386" s="25">
        <f>IF($C386="","",IF(E386="XAUUSD",0.1,IF(ISNUMBER(SEARCH("JPY",E386)),0.01,0.0001)))</f>
        <v/>
      </c>
      <c r="Z386" s="18">
        <f>IF($C386="","",IF(F386="Sell",-1,1))</f>
        <v/>
      </c>
      <c r="AA386" s="18">
        <f>IF($C386="","",IF(E386="XAUUSD",100,100000))</f>
        <v/>
      </c>
      <c r="AB386" s="26">
        <f>IF(OR(K386="",L386=""),"",ABS(K386-L386)/Y386)</f>
        <v/>
      </c>
      <c r="AC386" s="26">
        <f>IF(OR(K386="",M386=""),"",ABS(M386-K386)/Y386)</f>
        <v/>
      </c>
      <c r="AD386" s="26">
        <f>IF(OR(K386="",O386=""),"",(O386-K386)*Z386/Y386)</f>
        <v/>
      </c>
      <c r="AE386" s="27">
        <f>IF(OR(AB386="",AB386=0,AC386=""),"",AC386/AB386)</f>
        <v/>
      </c>
      <c r="AF386" s="27">
        <f>IF(OR(AB386="",AB386=0,AD386=""),"",AD386/AB386)</f>
        <v/>
      </c>
      <c r="AG386" s="27">
        <f>IF(OR(C386="",P386=""),"",((P386+IF(Q386="",0,Q386))-(C386+IF(D386="",0,D386)))*24)</f>
        <v/>
      </c>
      <c r="AH386" s="18">
        <f>IF(AG386="","",INT(AG386/24)&amp;"d "&amp;INT(MOD(AG386,24))&amp;"h "&amp;INT(MOD(AG386*60,60))&amp;"m")</f>
        <v/>
      </c>
      <c r="AI386" s="28">
        <f>IF(OR(O386="",K386="",H386=""),"",IF(OR(E386="XAUUSD",RIGHT(E386,3)="USD"),(O386-K386)*Z386*AA386*H386,IF(LEFT(E386,3)="USD",IF(O386=0,"",(O386-K386)*Z386*AA386*H386/O386),AD386*10*H386)))</f>
        <v/>
      </c>
      <c r="AJ386" s="28">
        <f>IF(O386="","",IF(S386="",IF(AI386="",0,AI386),S386)-IF(R386="",0,R386))</f>
        <v/>
      </c>
      <c r="AK386" s="18">
        <f>IF(C386="","",IF(OR(O386="",P386=""),"Open",IF(ABS(AJ386)&lt;=BEThreshold,"BE",IF(AJ386&gt;0,"Win","Loss"))))</f>
        <v/>
      </c>
      <c r="AL386" s="28">
        <f>IF(OR(C386="",AK386="Open"),"",InitialCapital+SUMIFS($AJ$2:AJ386,$AK$2:AK386,"&lt;&gt;Open"))</f>
        <v/>
      </c>
      <c r="AM386" s="18">
        <f>IF(OR(C386="",AK386=""),"",IF(AK386="Open","No","Yes"))</f>
        <v/>
      </c>
    </row>
    <row r="387" ht="18" customHeight="1">
      <c r="A387" s="18">
        <f>IF(C387="","",COUNTA($C$2:C387))</f>
        <v/>
      </c>
      <c r="B387" s="18">
        <f>IF(C387="","",TEXT(C387,"dddd"))</f>
        <v/>
      </c>
      <c r="C387" s="19" t="n"/>
      <c r="D387" s="20" t="n"/>
      <c r="E387" s="21" t="n"/>
      <c r="F387" s="21" t="n"/>
      <c r="G387" s="21" t="n"/>
      <c r="H387" s="22" t="n"/>
      <c r="I387" s="23" t="n"/>
      <c r="J387" s="22" t="n"/>
      <c r="K387" s="24" t="n"/>
      <c r="L387" s="24" t="n"/>
      <c r="M387" s="24" t="n"/>
      <c r="N387" s="21" t="n"/>
      <c r="O387" s="24" t="n"/>
      <c r="P387" s="19" t="n"/>
      <c r="Q387" s="20" t="n"/>
      <c r="R387" s="23" t="n"/>
      <c r="S387" s="23" t="n"/>
      <c r="T387" s="21" t="n"/>
      <c r="U387" s="21" t="n"/>
      <c r="V387" s="21" t="n"/>
      <c r="W387" s="21" t="n"/>
      <c r="X387" s="21" t="n"/>
      <c r="Y387" s="25">
        <f>IF($C387="","",IF(E387="XAUUSD",0.1,IF(ISNUMBER(SEARCH("JPY",E387)),0.01,0.0001)))</f>
        <v/>
      </c>
      <c r="Z387" s="18">
        <f>IF($C387="","",IF(F387="Sell",-1,1))</f>
        <v/>
      </c>
      <c r="AA387" s="18">
        <f>IF($C387="","",IF(E387="XAUUSD",100,100000))</f>
        <v/>
      </c>
      <c r="AB387" s="26">
        <f>IF(OR(K387="",L387=""),"",ABS(K387-L387)/Y387)</f>
        <v/>
      </c>
      <c r="AC387" s="26">
        <f>IF(OR(K387="",M387=""),"",ABS(M387-K387)/Y387)</f>
        <v/>
      </c>
      <c r="AD387" s="26">
        <f>IF(OR(K387="",O387=""),"",(O387-K387)*Z387/Y387)</f>
        <v/>
      </c>
      <c r="AE387" s="27">
        <f>IF(OR(AB387="",AB387=0,AC387=""),"",AC387/AB387)</f>
        <v/>
      </c>
      <c r="AF387" s="27">
        <f>IF(OR(AB387="",AB387=0,AD387=""),"",AD387/AB387)</f>
        <v/>
      </c>
      <c r="AG387" s="27">
        <f>IF(OR(C387="",P387=""),"",((P387+IF(Q387="",0,Q387))-(C387+IF(D387="",0,D387)))*24)</f>
        <v/>
      </c>
      <c r="AH387" s="18">
        <f>IF(AG387="","",INT(AG387/24)&amp;"d "&amp;INT(MOD(AG387,24))&amp;"h "&amp;INT(MOD(AG387*60,60))&amp;"m")</f>
        <v/>
      </c>
      <c r="AI387" s="28">
        <f>IF(OR(O387="",K387="",H387=""),"",IF(OR(E387="XAUUSD",RIGHT(E387,3)="USD"),(O387-K387)*Z387*AA387*H387,IF(LEFT(E387,3)="USD",IF(O387=0,"",(O387-K387)*Z387*AA387*H387/O387),AD387*10*H387)))</f>
        <v/>
      </c>
      <c r="AJ387" s="28">
        <f>IF(O387="","",IF(S387="",IF(AI387="",0,AI387),S387)-IF(R387="",0,R387))</f>
        <v/>
      </c>
      <c r="AK387" s="18">
        <f>IF(C387="","",IF(OR(O387="",P387=""),"Open",IF(ABS(AJ387)&lt;=BEThreshold,"BE",IF(AJ387&gt;0,"Win","Loss"))))</f>
        <v/>
      </c>
      <c r="AL387" s="28">
        <f>IF(OR(C387="",AK387="Open"),"",InitialCapital+SUMIFS($AJ$2:AJ387,$AK$2:AK387,"&lt;&gt;Open"))</f>
        <v/>
      </c>
      <c r="AM387" s="18">
        <f>IF(OR(C387="",AK387=""),"",IF(AK387="Open","No","Yes"))</f>
        <v/>
      </c>
    </row>
    <row r="388" ht="18" customHeight="1">
      <c r="A388" s="18">
        <f>IF(C388="","",COUNTA($C$2:C388))</f>
        <v/>
      </c>
      <c r="B388" s="18">
        <f>IF(C388="","",TEXT(C388,"dddd"))</f>
        <v/>
      </c>
      <c r="C388" s="19" t="n"/>
      <c r="D388" s="20" t="n"/>
      <c r="E388" s="21" t="n"/>
      <c r="F388" s="21" t="n"/>
      <c r="G388" s="21" t="n"/>
      <c r="H388" s="22" t="n"/>
      <c r="I388" s="23" t="n"/>
      <c r="J388" s="22" t="n"/>
      <c r="K388" s="24" t="n"/>
      <c r="L388" s="24" t="n"/>
      <c r="M388" s="24" t="n"/>
      <c r="N388" s="21" t="n"/>
      <c r="O388" s="24" t="n"/>
      <c r="P388" s="19" t="n"/>
      <c r="Q388" s="20" t="n"/>
      <c r="R388" s="23" t="n"/>
      <c r="S388" s="23" t="n"/>
      <c r="T388" s="21" t="n"/>
      <c r="U388" s="21" t="n"/>
      <c r="V388" s="21" t="n"/>
      <c r="W388" s="21" t="n"/>
      <c r="X388" s="21" t="n"/>
      <c r="Y388" s="25">
        <f>IF($C388="","",IF(E388="XAUUSD",0.1,IF(ISNUMBER(SEARCH("JPY",E388)),0.01,0.0001)))</f>
        <v/>
      </c>
      <c r="Z388" s="18">
        <f>IF($C388="","",IF(F388="Sell",-1,1))</f>
        <v/>
      </c>
      <c r="AA388" s="18">
        <f>IF($C388="","",IF(E388="XAUUSD",100,100000))</f>
        <v/>
      </c>
      <c r="AB388" s="26">
        <f>IF(OR(K388="",L388=""),"",ABS(K388-L388)/Y388)</f>
        <v/>
      </c>
      <c r="AC388" s="26">
        <f>IF(OR(K388="",M388=""),"",ABS(M388-K388)/Y388)</f>
        <v/>
      </c>
      <c r="AD388" s="26">
        <f>IF(OR(K388="",O388=""),"",(O388-K388)*Z388/Y388)</f>
        <v/>
      </c>
      <c r="AE388" s="27">
        <f>IF(OR(AB388="",AB388=0,AC388=""),"",AC388/AB388)</f>
        <v/>
      </c>
      <c r="AF388" s="27">
        <f>IF(OR(AB388="",AB388=0,AD388=""),"",AD388/AB388)</f>
        <v/>
      </c>
      <c r="AG388" s="27">
        <f>IF(OR(C388="",P388=""),"",((P388+IF(Q388="",0,Q388))-(C388+IF(D388="",0,D388)))*24)</f>
        <v/>
      </c>
      <c r="AH388" s="18">
        <f>IF(AG388="","",INT(AG388/24)&amp;"d "&amp;INT(MOD(AG388,24))&amp;"h "&amp;INT(MOD(AG388*60,60))&amp;"m")</f>
        <v/>
      </c>
      <c r="AI388" s="28">
        <f>IF(OR(O388="",K388="",H388=""),"",IF(OR(E388="XAUUSD",RIGHT(E388,3)="USD"),(O388-K388)*Z388*AA388*H388,IF(LEFT(E388,3)="USD",IF(O388=0,"",(O388-K388)*Z388*AA388*H388/O388),AD388*10*H388)))</f>
        <v/>
      </c>
      <c r="AJ388" s="28">
        <f>IF(O388="","",IF(S388="",IF(AI388="",0,AI388),S388)-IF(R388="",0,R388))</f>
        <v/>
      </c>
      <c r="AK388" s="18">
        <f>IF(C388="","",IF(OR(O388="",P388=""),"Open",IF(ABS(AJ388)&lt;=BEThreshold,"BE",IF(AJ388&gt;0,"Win","Loss"))))</f>
        <v/>
      </c>
      <c r="AL388" s="28">
        <f>IF(OR(C388="",AK388="Open"),"",InitialCapital+SUMIFS($AJ$2:AJ388,$AK$2:AK388,"&lt;&gt;Open"))</f>
        <v/>
      </c>
      <c r="AM388" s="18">
        <f>IF(OR(C388="",AK388=""),"",IF(AK388="Open","No","Yes"))</f>
        <v/>
      </c>
    </row>
    <row r="389" ht="18" customHeight="1">
      <c r="A389" s="18">
        <f>IF(C389="","",COUNTA($C$2:C389))</f>
        <v/>
      </c>
      <c r="B389" s="18">
        <f>IF(C389="","",TEXT(C389,"dddd"))</f>
        <v/>
      </c>
      <c r="C389" s="19" t="n"/>
      <c r="D389" s="20" t="n"/>
      <c r="E389" s="21" t="n"/>
      <c r="F389" s="21" t="n"/>
      <c r="G389" s="21" t="n"/>
      <c r="H389" s="22" t="n"/>
      <c r="I389" s="23" t="n"/>
      <c r="J389" s="22" t="n"/>
      <c r="K389" s="24" t="n"/>
      <c r="L389" s="24" t="n"/>
      <c r="M389" s="24" t="n"/>
      <c r="N389" s="21" t="n"/>
      <c r="O389" s="24" t="n"/>
      <c r="P389" s="19" t="n"/>
      <c r="Q389" s="20" t="n"/>
      <c r="R389" s="23" t="n"/>
      <c r="S389" s="23" t="n"/>
      <c r="T389" s="21" t="n"/>
      <c r="U389" s="21" t="n"/>
      <c r="V389" s="21" t="n"/>
      <c r="W389" s="21" t="n"/>
      <c r="X389" s="21" t="n"/>
      <c r="Y389" s="25">
        <f>IF($C389="","",IF(E389="XAUUSD",0.1,IF(ISNUMBER(SEARCH("JPY",E389)),0.01,0.0001)))</f>
        <v/>
      </c>
      <c r="Z389" s="18">
        <f>IF($C389="","",IF(F389="Sell",-1,1))</f>
        <v/>
      </c>
      <c r="AA389" s="18">
        <f>IF($C389="","",IF(E389="XAUUSD",100,100000))</f>
        <v/>
      </c>
      <c r="AB389" s="26">
        <f>IF(OR(K389="",L389=""),"",ABS(K389-L389)/Y389)</f>
        <v/>
      </c>
      <c r="AC389" s="26">
        <f>IF(OR(K389="",M389=""),"",ABS(M389-K389)/Y389)</f>
        <v/>
      </c>
      <c r="AD389" s="26">
        <f>IF(OR(K389="",O389=""),"",(O389-K389)*Z389/Y389)</f>
        <v/>
      </c>
      <c r="AE389" s="27">
        <f>IF(OR(AB389="",AB389=0,AC389=""),"",AC389/AB389)</f>
        <v/>
      </c>
      <c r="AF389" s="27">
        <f>IF(OR(AB389="",AB389=0,AD389=""),"",AD389/AB389)</f>
        <v/>
      </c>
      <c r="AG389" s="27">
        <f>IF(OR(C389="",P389=""),"",((P389+IF(Q389="",0,Q389))-(C389+IF(D389="",0,D389)))*24)</f>
        <v/>
      </c>
      <c r="AH389" s="18">
        <f>IF(AG389="","",INT(AG389/24)&amp;"d "&amp;INT(MOD(AG389,24))&amp;"h "&amp;INT(MOD(AG389*60,60))&amp;"m")</f>
        <v/>
      </c>
      <c r="AI389" s="28">
        <f>IF(OR(O389="",K389="",H389=""),"",IF(OR(E389="XAUUSD",RIGHT(E389,3)="USD"),(O389-K389)*Z389*AA389*H389,IF(LEFT(E389,3)="USD",IF(O389=0,"",(O389-K389)*Z389*AA389*H389/O389),AD389*10*H389)))</f>
        <v/>
      </c>
      <c r="AJ389" s="28">
        <f>IF(O389="","",IF(S389="",IF(AI389="",0,AI389),S389)-IF(R389="",0,R389))</f>
        <v/>
      </c>
      <c r="AK389" s="18">
        <f>IF(C389="","",IF(OR(O389="",P389=""),"Open",IF(ABS(AJ389)&lt;=BEThreshold,"BE",IF(AJ389&gt;0,"Win","Loss"))))</f>
        <v/>
      </c>
      <c r="AL389" s="28">
        <f>IF(OR(C389="",AK389="Open"),"",InitialCapital+SUMIFS($AJ$2:AJ389,$AK$2:AK389,"&lt;&gt;Open"))</f>
        <v/>
      </c>
      <c r="AM389" s="18">
        <f>IF(OR(C389="",AK389=""),"",IF(AK389="Open","No","Yes"))</f>
        <v/>
      </c>
    </row>
    <row r="390" ht="18" customHeight="1">
      <c r="A390" s="18">
        <f>IF(C390="","",COUNTA($C$2:C390))</f>
        <v/>
      </c>
      <c r="B390" s="18">
        <f>IF(C390="","",TEXT(C390,"dddd"))</f>
        <v/>
      </c>
      <c r="C390" s="19" t="n"/>
      <c r="D390" s="20" t="n"/>
      <c r="E390" s="21" t="n"/>
      <c r="F390" s="21" t="n"/>
      <c r="G390" s="21" t="n"/>
      <c r="H390" s="22" t="n"/>
      <c r="I390" s="23" t="n"/>
      <c r="J390" s="22" t="n"/>
      <c r="K390" s="24" t="n"/>
      <c r="L390" s="24" t="n"/>
      <c r="M390" s="24" t="n"/>
      <c r="N390" s="21" t="n"/>
      <c r="O390" s="24" t="n"/>
      <c r="P390" s="19" t="n"/>
      <c r="Q390" s="20" t="n"/>
      <c r="R390" s="23" t="n"/>
      <c r="S390" s="23" t="n"/>
      <c r="T390" s="21" t="n"/>
      <c r="U390" s="21" t="n"/>
      <c r="V390" s="21" t="n"/>
      <c r="W390" s="21" t="n"/>
      <c r="X390" s="21" t="n"/>
      <c r="Y390" s="25">
        <f>IF($C390="","",IF(E390="XAUUSD",0.1,IF(ISNUMBER(SEARCH("JPY",E390)),0.01,0.0001)))</f>
        <v/>
      </c>
      <c r="Z390" s="18">
        <f>IF($C390="","",IF(F390="Sell",-1,1))</f>
        <v/>
      </c>
      <c r="AA390" s="18">
        <f>IF($C390="","",IF(E390="XAUUSD",100,100000))</f>
        <v/>
      </c>
      <c r="AB390" s="26">
        <f>IF(OR(K390="",L390=""),"",ABS(K390-L390)/Y390)</f>
        <v/>
      </c>
      <c r="AC390" s="26">
        <f>IF(OR(K390="",M390=""),"",ABS(M390-K390)/Y390)</f>
        <v/>
      </c>
      <c r="AD390" s="26">
        <f>IF(OR(K390="",O390=""),"",(O390-K390)*Z390/Y390)</f>
        <v/>
      </c>
      <c r="AE390" s="27">
        <f>IF(OR(AB390="",AB390=0,AC390=""),"",AC390/AB390)</f>
        <v/>
      </c>
      <c r="AF390" s="27">
        <f>IF(OR(AB390="",AB390=0,AD390=""),"",AD390/AB390)</f>
        <v/>
      </c>
      <c r="AG390" s="27">
        <f>IF(OR(C390="",P390=""),"",((P390+IF(Q390="",0,Q390))-(C390+IF(D390="",0,D390)))*24)</f>
        <v/>
      </c>
      <c r="AH390" s="18">
        <f>IF(AG390="","",INT(AG390/24)&amp;"d "&amp;INT(MOD(AG390,24))&amp;"h "&amp;INT(MOD(AG390*60,60))&amp;"m")</f>
        <v/>
      </c>
      <c r="AI390" s="28">
        <f>IF(OR(O390="",K390="",H390=""),"",IF(OR(E390="XAUUSD",RIGHT(E390,3)="USD"),(O390-K390)*Z390*AA390*H390,IF(LEFT(E390,3)="USD",IF(O390=0,"",(O390-K390)*Z390*AA390*H390/O390),AD390*10*H390)))</f>
        <v/>
      </c>
      <c r="AJ390" s="28">
        <f>IF(O390="","",IF(S390="",IF(AI390="",0,AI390),S390)-IF(R390="",0,R390))</f>
        <v/>
      </c>
      <c r="AK390" s="18">
        <f>IF(C390="","",IF(OR(O390="",P390=""),"Open",IF(ABS(AJ390)&lt;=BEThreshold,"BE",IF(AJ390&gt;0,"Win","Loss"))))</f>
        <v/>
      </c>
      <c r="AL390" s="28">
        <f>IF(OR(C390="",AK390="Open"),"",InitialCapital+SUMIFS($AJ$2:AJ390,$AK$2:AK390,"&lt;&gt;Open"))</f>
        <v/>
      </c>
      <c r="AM390" s="18">
        <f>IF(OR(C390="",AK390=""),"",IF(AK390="Open","No","Yes"))</f>
        <v/>
      </c>
    </row>
    <row r="391" ht="18" customHeight="1">
      <c r="A391" s="18">
        <f>IF(C391="","",COUNTA($C$2:C391))</f>
        <v/>
      </c>
      <c r="B391" s="18">
        <f>IF(C391="","",TEXT(C391,"dddd"))</f>
        <v/>
      </c>
      <c r="C391" s="19" t="n"/>
      <c r="D391" s="20" t="n"/>
      <c r="E391" s="21" t="n"/>
      <c r="F391" s="21" t="n"/>
      <c r="G391" s="21" t="n"/>
      <c r="H391" s="22" t="n"/>
      <c r="I391" s="23" t="n"/>
      <c r="J391" s="22" t="n"/>
      <c r="K391" s="24" t="n"/>
      <c r="L391" s="24" t="n"/>
      <c r="M391" s="24" t="n"/>
      <c r="N391" s="21" t="n"/>
      <c r="O391" s="24" t="n"/>
      <c r="P391" s="19" t="n"/>
      <c r="Q391" s="20" t="n"/>
      <c r="R391" s="23" t="n"/>
      <c r="S391" s="23" t="n"/>
      <c r="T391" s="21" t="n"/>
      <c r="U391" s="21" t="n"/>
      <c r="V391" s="21" t="n"/>
      <c r="W391" s="21" t="n"/>
      <c r="X391" s="21" t="n"/>
      <c r="Y391" s="25">
        <f>IF($C391="","",IF(E391="XAUUSD",0.1,IF(ISNUMBER(SEARCH("JPY",E391)),0.01,0.0001)))</f>
        <v/>
      </c>
      <c r="Z391" s="18">
        <f>IF($C391="","",IF(F391="Sell",-1,1))</f>
        <v/>
      </c>
      <c r="AA391" s="18">
        <f>IF($C391="","",IF(E391="XAUUSD",100,100000))</f>
        <v/>
      </c>
      <c r="AB391" s="26">
        <f>IF(OR(K391="",L391=""),"",ABS(K391-L391)/Y391)</f>
        <v/>
      </c>
      <c r="AC391" s="26">
        <f>IF(OR(K391="",M391=""),"",ABS(M391-K391)/Y391)</f>
        <v/>
      </c>
      <c r="AD391" s="26">
        <f>IF(OR(K391="",O391=""),"",(O391-K391)*Z391/Y391)</f>
        <v/>
      </c>
      <c r="AE391" s="27">
        <f>IF(OR(AB391="",AB391=0,AC391=""),"",AC391/AB391)</f>
        <v/>
      </c>
      <c r="AF391" s="27">
        <f>IF(OR(AB391="",AB391=0,AD391=""),"",AD391/AB391)</f>
        <v/>
      </c>
      <c r="AG391" s="27">
        <f>IF(OR(C391="",P391=""),"",((P391+IF(Q391="",0,Q391))-(C391+IF(D391="",0,D391)))*24)</f>
        <v/>
      </c>
      <c r="AH391" s="18">
        <f>IF(AG391="","",INT(AG391/24)&amp;"d "&amp;INT(MOD(AG391,24))&amp;"h "&amp;INT(MOD(AG391*60,60))&amp;"m")</f>
        <v/>
      </c>
      <c r="AI391" s="28">
        <f>IF(OR(O391="",K391="",H391=""),"",IF(OR(E391="XAUUSD",RIGHT(E391,3)="USD"),(O391-K391)*Z391*AA391*H391,IF(LEFT(E391,3)="USD",IF(O391=0,"",(O391-K391)*Z391*AA391*H391/O391),AD391*10*H391)))</f>
        <v/>
      </c>
      <c r="AJ391" s="28">
        <f>IF(O391="","",IF(S391="",IF(AI391="",0,AI391),S391)-IF(R391="",0,R391))</f>
        <v/>
      </c>
      <c r="AK391" s="18">
        <f>IF(C391="","",IF(OR(O391="",P391=""),"Open",IF(ABS(AJ391)&lt;=BEThreshold,"BE",IF(AJ391&gt;0,"Win","Loss"))))</f>
        <v/>
      </c>
      <c r="AL391" s="28">
        <f>IF(OR(C391="",AK391="Open"),"",InitialCapital+SUMIFS($AJ$2:AJ391,$AK$2:AK391,"&lt;&gt;Open"))</f>
        <v/>
      </c>
      <c r="AM391" s="18">
        <f>IF(OR(C391="",AK391=""),"",IF(AK391="Open","No","Yes"))</f>
        <v/>
      </c>
    </row>
    <row r="392" ht="18" customHeight="1">
      <c r="A392" s="18">
        <f>IF(C392="","",COUNTA($C$2:C392))</f>
        <v/>
      </c>
      <c r="B392" s="18">
        <f>IF(C392="","",TEXT(C392,"dddd"))</f>
        <v/>
      </c>
      <c r="C392" s="19" t="n"/>
      <c r="D392" s="20" t="n"/>
      <c r="E392" s="21" t="n"/>
      <c r="F392" s="21" t="n"/>
      <c r="G392" s="21" t="n"/>
      <c r="H392" s="22" t="n"/>
      <c r="I392" s="23" t="n"/>
      <c r="J392" s="22" t="n"/>
      <c r="K392" s="24" t="n"/>
      <c r="L392" s="24" t="n"/>
      <c r="M392" s="24" t="n"/>
      <c r="N392" s="21" t="n"/>
      <c r="O392" s="24" t="n"/>
      <c r="P392" s="19" t="n"/>
      <c r="Q392" s="20" t="n"/>
      <c r="R392" s="23" t="n"/>
      <c r="S392" s="23" t="n"/>
      <c r="T392" s="21" t="n"/>
      <c r="U392" s="21" t="n"/>
      <c r="V392" s="21" t="n"/>
      <c r="W392" s="21" t="n"/>
      <c r="X392" s="21" t="n"/>
      <c r="Y392" s="25">
        <f>IF($C392="","",IF(E392="XAUUSD",0.1,IF(ISNUMBER(SEARCH("JPY",E392)),0.01,0.0001)))</f>
        <v/>
      </c>
      <c r="Z392" s="18">
        <f>IF($C392="","",IF(F392="Sell",-1,1))</f>
        <v/>
      </c>
      <c r="AA392" s="18">
        <f>IF($C392="","",IF(E392="XAUUSD",100,100000))</f>
        <v/>
      </c>
      <c r="AB392" s="26">
        <f>IF(OR(K392="",L392=""),"",ABS(K392-L392)/Y392)</f>
        <v/>
      </c>
      <c r="AC392" s="26">
        <f>IF(OR(K392="",M392=""),"",ABS(M392-K392)/Y392)</f>
        <v/>
      </c>
      <c r="AD392" s="26">
        <f>IF(OR(K392="",O392=""),"",(O392-K392)*Z392/Y392)</f>
        <v/>
      </c>
      <c r="AE392" s="27">
        <f>IF(OR(AB392="",AB392=0,AC392=""),"",AC392/AB392)</f>
        <v/>
      </c>
      <c r="AF392" s="27">
        <f>IF(OR(AB392="",AB392=0,AD392=""),"",AD392/AB392)</f>
        <v/>
      </c>
      <c r="AG392" s="27">
        <f>IF(OR(C392="",P392=""),"",((P392+IF(Q392="",0,Q392))-(C392+IF(D392="",0,D392)))*24)</f>
        <v/>
      </c>
      <c r="AH392" s="18">
        <f>IF(AG392="","",INT(AG392/24)&amp;"d "&amp;INT(MOD(AG392,24))&amp;"h "&amp;INT(MOD(AG392*60,60))&amp;"m")</f>
        <v/>
      </c>
      <c r="AI392" s="28">
        <f>IF(OR(O392="",K392="",H392=""),"",IF(OR(E392="XAUUSD",RIGHT(E392,3)="USD"),(O392-K392)*Z392*AA392*H392,IF(LEFT(E392,3)="USD",IF(O392=0,"",(O392-K392)*Z392*AA392*H392/O392),AD392*10*H392)))</f>
        <v/>
      </c>
      <c r="AJ392" s="28">
        <f>IF(O392="","",IF(S392="",IF(AI392="",0,AI392),S392)-IF(R392="",0,R392))</f>
        <v/>
      </c>
      <c r="AK392" s="18">
        <f>IF(C392="","",IF(OR(O392="",P392=""),"Open",IF(ABS(AJ392)&lt;=BEThreshold,"BE",IF(AJ392&gt;0,"Win","Loss"))))</f>
        <v/>
      </c>
      <c r="AL392" s="28">
        <f>IF(OR(C392="",AK392="Open"),"",InitialCapital+SUMIFS($AJ$2:AJ392,$AK$2:AK392,"&lt;&gt;Open"))</f>
        <v/>
      </c>
      <c r="AM392" s="18">
        <f>IF(OR(C392="",AK392=""),"",IF(AK392="Open","No","Yes"))</f>
        <v/>
      </c>
    </row>
    <row r="393" ht="18" customHeight="1">
      <c r="A393" s="18">
        <f>IF(C393="","",COUNTA($C$2:C393))</f>
        <v/>
      </c>
      <c r="B393" s="18">
        <f>IF(C393="","",TEXT(C393,"dddd"))</f>
        <v/>
      </c>
      <c r="C393" s="19" t="n"/>
      <c r="D393" s="20" t="n"/>
      <c r="E393" s="21" t="n"/>
      <c r="F393" s="21" t="n"/>
      <c r="G393" s="21" t="n"/>
      <c r="H393" s="22" t="n"/>
      <c r="I393" s="23" t="n"/>
      <c r="J393" s="22" t="n"/>
      <c r="K393" s="24" t="n"/>
      <c r="L393" s="24" t="n"/>
      <c r="M393" s="24" t="n"/>
      <c r="N393" s="21" t="n"/>
      <c r="O393" s="24" t="n"/>
      <c r="P393" s="19" t="n"/>
      <c r="Q393" s="20" t="n"/>
      <c r="R393" s="23" t="n"/>
      <c r="S393" s="23" t="n"/>
      <c r="T393" s="21" t="n"/>
      <c r="U393" s="21" t="n"/>
      <c r="V393" s="21" t="n"/>
      <c r="W393" s="21" t="n"/>
      <c r="X393" s="21" t="n"/>
      <c r="Y393" s="25">
        <f>IF($C393="","",IF(E393="XAUUSD",0.1,IF(ISNUMBER(SEARCH("JPY",E393)),0.01,0.0001)))</f>
        <v/>
      </c>
      <c r="Z393" s="18">
        <f>IF($C393="","",IF(F393="Sell",-1,1))</f>
        <v/>
      </c>
      <c r="AA393" s="18">
        <f>IF($C393="","",IF(E393="XAUUSD",100,100000))</f>
        <v/>
      </c>
      <c r="AB393" s="26">
        <f>IF(OR(K393="",L393=""),"",ABS(K393-L393)/Y393)</f>
        <v/>
      </c>
      <c r="AC393" s="26">
        <f>IF(OR(K393="",M393=""),"",ABS(M393-K393)/Y393)</f>
        <v/>
      </c>
      <c r="AD393" s="26">
        <f>IF(OR(K393="",O393=""),"",(O393-K393)*Z393/Y393)</f>
        <v/>
      </c>
      <c r="AE393" s="27">
        <f>IF(OR(AB393="",AB393=0,AC393=""),"",AC393/AB393)</f>
        <v/>
      </c>
      <c r="AF393" s="27">
        <f>IF(OR(AB393="",AB393=0,AD393=""),"",AD393/AB393)</f>
        <v/>
      </c>
      <c r="AG393" s="27">
        <f>IF(OR(C393="",P393=""),"",((P393+IF(Q393="",0,Q393))-(C393+IF(D393="",0,D393)))*24)</f>
        <v/>
      </c>
      <c r="AH393" s="18">
        <f>IF(AG393="","",INT(AG393/24)&amp;"d "&amp;INT(MOD(AG393,24))&amp;"h "&amp;INT(MOD(AG393*60,60))&amp;"m")</f>
        <v/>
      </c>
      <c r="AI393" s="28">
        <f>IF(OR(O393="",K393="",H393=""),"",IF(OR(E393="XAUUSD",RIGHT(E393,3)="USD"),(O393-K393)*Z393*AA393*H393,IF(LEFT(E393,3)="USD",IF(O393=0,"",(O393-K393)*Z393*AA393*H393/O393),AD393*10*H393)))</f>
        <v/>
      </c>
      <c r="AJ393" s="28">
        <f>IF(O393="","",IF(S393="",IF(AI393="",0,AI393),S393)-IF(R393="",0,R393))</f>
        <v/>
      </c>
      <c r="AK393" s="18">
        <f>IF(C393="","",IF(OR(O393="",P393=""),"Open",IF(ABS(AJ393)&lt;=BEThreshold,"BE",IF(AJ393&gt;0,"Win","Loss"))))</f>
        <v/>
      </c>
      <c r="AL393" s="28">
        <f>IF(OR(C393="",AK393="Open"),"",InitialCapital+SUMIFS($AJ$2:AJ393,$AK$2:AK393,"&lt;&gt;Open"))</f>
        <v/>
      </c>
      <c r="AM393" s="18">
        <f>IF(OR(C393="",AK393=""),"",IF(AK393="Open","No","Yes"))</f>
        <v/>
      </c>
    </row>
    <row r="394" ht="18" customHeight="1">
      <c r="A394" s="18">
        <f>IF(C394="","",COUNTA($C$2:C394))</f>
        <v/>
      </c>
      <c r="B394" s="18">
        <f>IF(C394="","",TEXT(C394,"dddd"))</f>
        <v/>
      </c>
      <c r="C394" s="19" t="n"/>
      <c r="D394" s="20" t="n"/>
      <c r="E394" s="21" t="n"/>
      <c r="F394" s="21" t="n"/>
      <c r="G394" s="21" t="n"/>
      <c r="H394" s="22" t="n"/>
      <c r="I394" s="23" t="n"/>
      <c r="J394" s="22" t="n"/>
      <c r="K394" s="24" t="n"/>
      <c r="L394" s="24" t="n"/>
      <c r="M394" s="24" t="n"/>
      <c r="N394" s="21" t="n"/>
      <c r="O394" s="24" t="n"/>
      <c r="P394" s="19" t="n"/>
      <c r="Q394" s="20" t="n"/>
      <c r="R394" s="23" t="n"/>
      <c r="S394" s="23" t="n"/>
      <c r="T394" s="21" t="n"/>
      <c r="U394" s="21" t="n"/>
      <c r="V394" s="21" t="n"/>
      <c r="W394" s="21" t="n"/>
      <c r="X394" s="21" t="n"/>
      <c r="Y394" s="25">
        <f>IF($C394="","",IF(E394="XAUUSD",0.1,IF(ISNUMBER(SEARCH("JPY",E394)),0.01,0.0001)))</f>
        <v/>
      </c>
      <c r="Z394" s="18">
        <f>IF($C394="","",IF(F394="Sell",-1,1))</f>
        <v/>
      </c>
      <c r="AA394" s="18">
        <f>IF($C394="","",IF(E394="XAUUSD",100,100000))</f>
        <v/>
      </c>
      <c r="AB394" s="26">
        <f>IF(OR(K394="",L394=""),"",ABS(K394-L394)/Y394)</f>
        <v/>
      </c>
      <c r="AC394" s="26">
        <f>IF(OR(K394="",M394=""),"",ABS(M394-K394)/Y394)</f>
        <v/>
      </c>
      <c r="AD394" s="26">
        <f>IF(OR(K394="",O394=""),"",(O394-K394)*Z394/Y394)</f>
        <v/>
      </c>
      <c r="AE394" s="27">
        <f>IF(OR(AB394="",AB394=0,AC394=""),"",AC394/AB394)</f>
        <v/>
      </c>
      <c r="AF394" s="27">
        <f>IF(OR(AB394="",AB394=0,AD394=""),"",AD394/AB394)</f>
        <v/>
      </c>
      <c r="AG394" s="27">
        <f>IF(OR(C394="",P394=""),"",((P394+IF(Q394="",0,Q394))-(C394+IF(D394="",0,D394)))*24)</f>
        <v/>
      </c>
      <c r="AH394" s="18">
        <f>IF(AG394="","",INT(AG394/24)&amp;"d "&amp;INT(MOD(AG394,24))&amp;"h "&amp;INT(MOD(AG394*60,60))&amp;"m")</f>
        <v/>
      </c>
      <c r="AI394" s="28">
        <f>IF(OR(O394="",K394="",H394=""),"",IF(OR(E394="XAUUSD",RIGHT(E394,3)="USD"),(O394-K394)*Z394*AA394*H394,IF(LEFT(E394,3)="USD",IF(O394=0,"",(O394-K394)*Z394*AA394*H394/O394),AD394*10*H394)))</f>
        <v/>
      </c>
      <c r="AJ394" s="28">
        <f>IF(O394="","",IF(S394="",IF(AI394="",0,AI394),S394)-IF(R394="",0,R394))</f>
        <v/>
      </c>
      <c r="AK394" s="18">
        <f>IF(C394="","",IF(OR(O394="",P394=""),"Open",IF(ABS(AJ394)&lt;=BEThreshold,"BE",IF(AJ394&gt;0,"Win","Loss"))))</f>
        <v/>
      </c>
      <c r="AL394" s="28">
        <f>IF(OR(C394="",AK394="Open"),"",InitialCapital+SUMIFS($AJ$2:AJ394,$AK$2:AK394,"&lt;&gt;Open"))</f>
        <v/>
      </c>
      <c r="AM394" s="18">
        <f>IF(OR(C394="",AK394=""),"",IF(AK394="Open","No","Yes"))</f>
        <v/>
      </c>
    </row>
    <row r="395" ht="18" customHeight="1">
      <c r="A395" s="18">
        <f>IF(C395="","",COUNTA($C$2:C395))</f>
        <v/>
      </c>
      <c r="B395" s="18">
        <f>IF(C395="","",TEXT(C395,"dddd"))</f>
        <v/>
      </c>
      <c r="C395" s="19" t="n"/>
      <c r="D395" s="20" t="n"/>
      <c r="E395" s="21" t="n"/>
      <c r="F395" s="21" t="n"/>
      <c r="G395" s="21" t="n"/>
      <c r="H395" s="22" t="n"/>
      <c r="I395" s="23" t="n"/>
      <c r="J395" s="22" t="n"/>
      <c r="K395" s="24" t="n"/>
      <c r="L395" s="24" t="n"/>
      <c r="M395" s="24" t="n"/>
      <c r="N395" s="21" t="n"/>
      <c r="O395" s="24" t="n"/>
      <c r="P395" s="19" t="n"/>
      <c r="Q395" s="20" t="n"/>
      <c r="R395" s="23" t="n"/>
      <c r="S395" s="23" t="n"/>
      <c r="T395" s="21" t="n"/>
      <c r="U395" s="21" t="n"/>
      <c r="V395" s="21" t="n"/>
      <c r="W395" s="21" t="n"/>
      <c r="X395" s="21" t="n"/>
      <c r="Y395" s="25">
        <f>IF($C395="","",IF(E395="XAUUSD",0.1,IF(ISNUMBER(SEARCH("JPY",E395)),0.01,0.0001)))</f>
        <v/>
      </c>
      <c r="Z395" s="18">
        <f>IF($C395="","",IF(F395="Sell",-1,1))</f>
        <v/>
      </c>
      <c r="AA395" s="18">
        <f>IF($C395="","",IF(E395="XAUUSD",100,100000))</f>
        <v/>
      </c>
      <c r="AB395" s="26">
        <f>IF(OR(K395="",L395=""),"",ABS(K395-L395)/Y395)</f>
        <v/>
      </c>
      <c r="AC395" s="26">
        <f>IF(OR(K395="",M395=""),"",ABS(M395-K395)/Y395)</f>
        <v/>
      </c>
      <c r="AD395" s="26">
        <f>IF(OR(K395="",O395=""),"",(O395-K395)*Z395/Y395)</f>
        <v/>
      </c>
      <c r="AE395" s="27">
        <f>IF(OR(AB395="",AB395=0,AC395=""),"",AC395/AB395)</f>
        <v/>
      </c>
      <c r="AF395" s="27">
        <f>IF(OR(AB395="",AB395=0,AD395=""),"",AD395/AB395)</f>
        <v/>
      </c>
      <c r="AG395" s="27">
        <f>IF(OR(C395="",P395=""),"",((P395+IF(Q395="",0,Q395))-(C395+IF(D395="",0,D395)))*24)</f>
        <v/>
      </c>
      <c r="AH395" s="18">
        <f>IF(AG395="","",INT(AG395/24)&amp;"d "&amp;INT(MOD(AG395,24))&amp;"h "&amp;INT(MOD(AG395*60,60))&amp;"m")</f>
        <v/>
      </c>
      <c r="AI395" s="28">
        <f>IF(OR(O395="",K395="",H395=""),"",IF(OR(E395="XAUUSD",RIGHT(E395,3)="USD"),(O395-K395)*Z395*AA395*H395,IF(LEFT(E395,3)="USD",IF(O395=0,"",(O395-K395)*Z395*AA395*H395/O395),AD395*10*H395)))</f>
        <v/>
      </c>
      <c r="AJ395" s="28">
        <f>IF(O395="","",IF(S395="",IF(AI395="",0,AI395),S395)-IF(R395="",0,R395))</f>
        <v/>
      </c>
      <c r="AK395" s="18">
        <f>IF(C395="","",IF(OR(O395="",P395=""),"Open",IF(ABS(AJ395)&lt;=BEThreshold,"BE",IF(AJ395&gt;0,"Win","Loss"))))</f>
        <v/>
      </c>
      <c r="AL395" s="28">
        <f>IF(OR(C395="",AK395="Open"),"",InitialCapital+SUMIFS($AJ$2:AJ395,$AK$2:AK395,"&lt;&gt;Open"))</f>
        <v/>
      </c>
      <c r="AM395" s="18">
        <f>IF(OR(C395="",AK395=""),"",IF(AK395="Open","No","Yes"))</f>
        <v/>
      </c>
    </row>
    <row r="396" ht="18" customHeight="1">
      <c r="A396" s="18">
        <f>IF(C396="","",COUNTA($C$2:C396))</f>
        <v/>
      </c>
      <c r="B396" s="18">
        <f>IF(C396="","",TEXT(C396,"dddd"))</f>
        <v/>
      </c>
      <c r="C396" s="19" t="n"/>
      <c r="D396" s="20" t="n"/>
      <c r="E396" s="21" t="n"/>
      <c r="F396" s="21" t="n"/>
      <c r="G396" s="21" t="n"/>
      <c r="H396" s="22" t="n"/>
      <c r="I396" s="23" t="n"/>
      <c r="J396" s="22" t="n"/>
      <c r="K396" s="24" t="n"/>
      <c r="L396" s="24" t="n"/>
      <c r="M396" s="24" t="n"/>
      <c r="N396" s="21" t="n"/>
      <c r="O396" s="24" t="n"/>
      <c r="P396" s="19" t="n"/>
      <c r="Q396" s="20" t="n"/>
      <c r="R396" s="23" t="n"/>
      <c r="S396" s="23" t="n"/>
      <c r="T396" s="21" t="n"/>
      <c r="U396" s="21" t="n"/>
      <c r="V396" s="21" t="n"/>
      <c r="W396" s="21" t="n"/>
      <c r="X396" s="21" t="n"/>
      <c r="Y396" s="25">
        <f>IF($C396="","",IF(E396="XAUUSD",0.1,IF(ISNUMBER(SEARCH("JPY",E396)),0.01,0.0001)))</f>
        <v/>
      </c>
      <c r="Z396" s="18">
        <f>IF($C396="","",IF(F396="Sell",-1,1))</f>
        <v/>
      </c>
      <c r="AA396" s="18">
        <f>IF($C396="","",IF(E396="XAUUSD",100,100000))</f>
        <v/>
      </c>
      <c r="AB396" s="26">
        <f>IF(OR(K396="",L396=""),"",ABS(K396-L396)/Y396)</f>
        <v/>
      </c>
      <c r="AC396" s="26">
        <f>IF(OR(K396="",M396=""),"",ABS(M396-K396)/Y396)</f>
        <v/>
      </c>
      <c r="AD396" s="26">
        <f>IF(OR(K396="",O396=""),"",(O396-K396)*Z396/Y396)</f>
        <v/>
      </c>
      <c r="AE396" s="27">
        <f>IF(OR(AB396="",AB396=0,AC396=""),"",AC396/AB396)</f>
        <v/>
      </c>
      <c r="AF396" s="27">
        <f>IF(OR(AB396="",AB396=0,AD396=""),"",AD396/AB396)</f>
        <v/>
      </c>
      <c r="AG396" s="27">
        <f>IF(OR(C396="",P396=""),"",((P396+IF(Q396="",0,Q396))-(C396+IF(D396="",0,D396)))*24)</f>
        <v/>
      </c>
      <c r="AH396" s="18">
        <f>IF(AG396="","",INT(AG396/24)&amp;"d "&amp;INT(MOD(AG396,24))&amp;"h "&amp;INT(MOD(AG396*60,60))&amp;"m")</f>
        <v/>
      </c>
      <c r="AI396" s="28">
        <f>IF(OR(O396="",K396="",H396=""),"",IF(OR(E396="XAUUSD",RIGHT(E396,3)="USD"),(O396-K396)*Z396*AA396*H396,IF(LEFT(E396,3)="USD",IF(O396=0,"",(O396-K396)*Z396*AA396*H396/O396),AD396*10*H396)))</f>
        <v/>
      </c>
      <c r="AJ396" s="28">
        <f>IF(O396="","",IF(S396="",IF(AI396="",0,AI396),S396)-IF(R396="",0,R396))</f>
        <v/>
      </c>
      <c r="AK396" s="18">
        <f>IF(C396="","",IF(OR(O396="",P396=""),"Open",IF(ABS(AJ396)&lt;=BEThreshold,"BE",IF(AJ396&gt;0,"Win","Loss"))))</f>
        <v/>
      </c>
      <c r="AL396" s="28">
        <f>IF(OR(C396="",AK396="Open"),"",InitialCapital+SUMIFS($AJ$2:AJ396,$AK$2:AK396,"&lt;&gt;Open"))</f>
        <v/>
      </c>
      <c r="AM396" s="18">
        <f>IF(OR(C396="",AK396=""),"",IF(AK396="Open","No","Yes"))</f>
        <v/>
      </c>
    </row>
    <row r="397" ht="18" customHeight="1">
      <c r="A397" s="18">
        <f>IF(C397="","",COUNTA($C$2:C397))</f>
        <v/>
      </c>
      <c r="B397" s="18">
        <f>IF(C397="","",TEXT(C397,"dddd"))</f>
        <v/>
      </c>
      <c r="C397" s="19" t="n"/>
      <c r="D397" s="20" t="n"/>
      <c r="E397" s="21" t="n"/>
      <c r="F397" s="21" t="n"/>
      <c r="G397" s="21" t="n"/>
      <c r="H397" s="22" t="n"/>
      <c r="I397" s="23" t="n"/>
      <c r="J397" s="22" t="n"/>
      <c r="K397" s="24" t="n"/>
      <c r="L397" s="24" t="n"/>
      <c r="M397" s="24" t="n"/>
      <c r="N397" s="21" t="n"/>
      <c r="O397" s="24" t="n"/>
      <c r="P397" s="19" t="n"/>
      <c r="Q397" s="20" t="n"/>
      <c r="R397" s="23" t="n"/>
      <c r="S397" s="23" t="n"/>
      <c r="T397" s="21" t="n"/>
      <c r="U397" s="21" t="n"/>
      <c r="V397" s="21" t="n"/>
      <c r="W397" s="21" t="n"/>
      <c r="X397" s="21" t="n"/>
      <c r="Y397" s="25">
        <f>IF($C397="","",IF(E397="XAUUSD",0.1,IF(ISNUMBER(SEARCH("JPY",E397)),0.01,0.0001)))</f>
        <v/>
      </c>
      <c r="Z397" s="18">
        <f>IF($C397="","",IF(F397="Sell",-1,1))</f>
        <v/>
      </c>
      <c r="AA397" s="18">
        <f>IF($C397="","",IF(E397="XAUUSD",100,100000))</f>
        <v/>
      </c>
      <c r="AB397" s="26">
        <f>IF(OR(K397="",L397=""),"",ABS(K397-L397)/Y397)</f>
        <v/>
      </c>
      <c r="AC397" s="26">
        <f>IF(OR(K397="",M397=""),"",ABS(M397-K397)/Y397)</f>
        <v/>
      </c>
      <c r="AD397" s="26">
        <f>IF(OR(K397="",O397=""),"",(O397-K397)*Z397/Y397)</f>
        <v/>
      </c>
      <c r="AE397" s="27">
        <f>IF(OR(AB397="",AB397=0,AC397=""),"",AC397/AB397)</f>
        <v/>
      </c>
      <c r="AF397" s="27">
        <f>IF(OR(AB397="",AB397=0,AD397=""),"",AD397/AB397)</f>
        <v/>
      </c>
      <c r="AG397" s="27">
        <f>IF(OR(C397="",P397=""),"",((P397+IF(Q397="",0,Q397))-(C397+IF(D397="",0,D397)))*24)</f>
        <v/>
      </c>
      <c r="AH397" s="18">
        <f>IF(AG397="","",INT(AG397/24)&amp;"d "&amp;INT(MOD(AG397,24))&amp;"h "&amp;INT(MOD(AG397*60,60))&amp;"m")</f>
        <v/>
      </c>
      <c r="AI397" s="28">
        <f>IF(OR(O397="",K397="",H397=""),"",IF(OR(E397="XAUUSD",RIGHT(E397,3)="USD"),(O397-K397)*Z397*AA397*H397,IF(LEFT(E397,3)="USD",IF(O397=0,"",(O397-K397)*Z397*AA397*H397/O397),AD397*10*H397)))</f>
        <v/>
      </c>
      <c r="AJ397" s="28">
        <f>IF(O397="","",IF(S397="",IF(AI397="",0,AI397),S397)-IF(R397="",0,R397))</f>
        <v/>
      </c>
      <c r="AK397" s="18">
        <f>IF(C397="","",IF(OR(O397="",P397=""),"Open",IF(ABS(AJ397)&lt;=BEThreshold,"BE",IF(AJ397&gt;0,"Win","Loss"))))</f>
        <v/>
      </c>
      <c r="AL397" s="28">
        <f>IF(OR(C397="",AK397="Open"),"",InitialCapital+SUMIFS($AJ$2:AJ397,$AK$2:AK397,"&lt;&gt;Open"))</f>
        <v/>
      </c>
      <c r="AM397" s="18">
        <f>IF(OR(C397="",AK397=""),"",IF(AK397="Open","No","Yes"))</f>
        <v/>
      </c>
    </row>
    <row r="398" ht="18" customHeight="1">
      <c r="A398" s="18">
        <f>IF(C398="","",COUNTA($C$2:C398))</f>
        <v/>
      </c>
      <c r="B398" s="18">
        <f>IF(C398="","",TEXT(C398,"dddd"))</f>
        <v/>
      </c>
      <c r="C398" s="19" t="n"/>
      <c r="D398" s="20" t="n"/>
      <c r="E398" s="21" t="n"/>
      <c r="F398" s="21" t="n"/>
      <c r="G398" s="21" t="n"/>
      <c r="H398" s="22" t="n"/>
      <c r="I398" s="23" t="n"/>
      <c r="J398" s="22" t="n"/>
      <c r="K398" s="24" t="n"/>
      <c r="L398" s="24" t="n"/>
      <c r="M398" s="24" t="n"/>
      <c r="N398" s="21" t="n"/>
      <c r="O398" s="24" t="n"/>
      <c r="P398" s="19" t="n"/>
      <c r="Q398" s="20" t="n"/>
      <c r="R398" s="23" t="n"/>
      <c r="S398" s="23" t="n"/>
      <c r="T398" s="21" t="n"/>
      <c r="U398" s="21" t="n"/>
      <c r="V398" s="21" t="n"/>
      <c r="W398" s="21" t="n"/>
      <c r="X398" s="21" t="n"/>
      <c r="Y398" s="25">
        <f>IF($C398="","",IF(E398="XAUUSD",0.1,IF(ISNUMBER(SEARCH("JPY",E398)),0.01,0.0001)))</f>
        <v/>
      </c>
      <c r="Z398" s="18">
        <f>IF($C398="","",IF(F398="Sell",-1,1))</f>
        <v/>
      </c>
      <c r="AA398" s="18">
        <f>IF($C398="","",IF(E398="XAUUSD",100,100000))</f>
        <v/>
      </c>
      <c r="AB398" s="26">
        <f>IF(OR(K398="",L398=""),"",ABS(K398-L398)/Y398)</f>
        <v/>
      </c>
      <c r="AC398" s="26">
        <f>IF(OR(K398="",M398=""),"",ABS(M398-K398)/Y398)</f>
        <v/>
      </c>
      <c r="AD398" s="26">
        <f>IF(OR(K398="",O398=""),"",(O398-K398)*Z398/Y398)</f>
        <v/>
      </c>
      <c r="AE398" s="27">
        <f>IF(OR(AB398="",AB398=0,AC398=""),"",AC398/AB398)</f>
        <v/>
      </c>
      <c r="AF398" s="27">
        <f>IF(OR(AB398="",AB398=0,AD398=""),"",AD398/AB398)</f>
        <v/>
      </c>
      <c r="AG398" s="27">
        <f>IF(OR(C398="",P398=""),"",((P398+IF(Q398="",0,Q398))-(C398+IF(D398="",0,D398)))*24)</f>
        <v/>
      </c>
      <c r="AH398" s="18">
        <f>IF(AG398="","",INT(AG398/24)&amp;"d "&amp;INT(MOD(AG398,24))&amp;"h "&amp;INT(MOD(AG398*60,60))&amp;"m")</f>
        <v/>
      </c>
      <c r="AI398" s="28">
        <f>IF(OR(O398="",K398="",H398=""),"",IF(OR(E398="XAUUSD",RIGHT(E398,3)="USD"),(O398-K398)*Z398*AA398*H398,IF(LEFT(E398,3)="USD",IF(O398=0,"",(O398-K398)*Z398*AA398*H398/O398),AD398*10*H398)))</f>
        <v/>
      </c>
      <c r="AJ398" s="28">
        <f>IF(O398="","",IF(S398="",IF(AI398="",0,AI398),S398)-IF(R398="",0,R398))</f>
        <v/>
      </c>
      <c r="AK398" s="18">
        <f>IF(C398="","",IF(OR(O398="",P398=""),"Open",IF(ABS(AJ398)&lt;=BEThreshold,"BE",IF(AJ398&gt;0,"Win","Loss"))))</f>
        <v/>
      </c>
      <c r="AL398" s="28">
        <f>IF(OR(C398="",AK398="Open"),"",InitialCapital+SUMIFS($AJ$2:AJ398,$AK$2:AK398,"&lt;&gt;Open"))</f>
        <v/>
      </c>
      <c r="AM398" s="18">
        <f>IF(OR(C398="",AK398=""),"",IF(AK398="Open","No","Yes"))</f>
        <v/>
      </c>
    </row>
    <row r="399" ht="18" customHeight="1">
      <c r="A399" s="18">
        <f>IF(C399="","",COUNTA($C$2:C399))</f>
        <v/>
      </c>
      <c r="B399" s="18">
        <f>IF(C399="","",TEXT(C399,"dddd"))</f>
        <v/>
      </c>
      <c r="C399" s="19" t="n"/>
      <c r="D399" s="20" t="n"/>
      <c r="E399" s="21" t="n"/>
      <c r="F399" s="21" t="n"/>
      <c r="G399" s="21" t="n"/>
      <c r="H399" s="22" t="n"/>
      <c r="I399" s="23" t="n"/>
      <c r="J399" s="22" t="n"/>
      <c r="K399" s="24" t="n"/>
      <c r="L399" s="24" t="n"/>
      <c r="M399" s="24" t="n"/>
      <c r="N399" s="21" t="n"/>
      <c r="O399" s="24" t="n"/>
      <c r="P399" s="19" t="n"/>
      <c r="Q399" s="20" t="n"/>
      <c r="R399" s="23" t="n"/>
      <c r="S399" s="23" t="n"/>
      <c r="T399" s="21" t="n"/>
      <c r="U399" s="21" t="n"/>
      <c r="V399" s="21" t="n"/>
      <c r="W399" s="21" t="n"/>
      <c r="X399" s="21" t="n"/>
      <c r="Y399" s="25">
        <f>IF($C399="","",IF(E399="XAUUSD",0.1,IF(ISNUMBER(SEARCH("JPY",E399)),0.01,0.0001)))</f>
        <v/>
      </c>
      <c r="Z399" s="18">
        <f>IF($C399="","",IF(F399="Sell",-1,1))</f>
        <v/>
      </c>
      <c r="AA399" s="18">
        <f>IF($C399="","",IF(E399="XAUUSD",100,100000))</f>
        <v/>
      </c>
      <c r="AB399" s="26">
        <f>IF(OR(K399="",L399=""),"",ABS(K399-L399)/Y399)</f>
        <v/>
      </c>
      <c r="AC399" s="26">
        <f>IF(OR(K399="",M399=""),"",ABS(M399-K399)/Y399)</f>
        <v/>
      </c>
      <c r="AD399" s="26">
        <f>IF(OR(K399="",O399=""),"",(O399-K399)*Z399/Y399)</f>
        <v/>
      </c>
      <c r="AE399" s="27">
        <f>IF(OR(AB399="",AB399=0,AC399=""),"",AC399/AB399)</f>
        <v/>
      </c>
      <c r="AF399" s="27">
        <f>IF(OR(AB399="",AB399=0,AD399=""),"",AD399/AB399)</f>
        <v/>
      </c>
      <c r="AG399" s="27">
        <f>IF(OR(C399="",P399=""),"",((P399+IF(Q399="",0,Q399))-(C399+IF(D399="",0,D399)))*24)</f>
        <v/>
      </c>
      <c r="AH399" s="18">
        <f>IF(AG399="","",INT(AG399/24)&amp;"d "&amp;INT(MOD(AG399,24))&amp;"h "&amp;INT(MOD(AG399*60,60))&amp;"m")</f>
        <v/>
      </c>
      <c r="AI399" s="28">
        <f>IF(OR(O399="",K399="",H399=""),"",IF(OR(E399="XAUUSD",RIGHT(E399,3)="USD"),(O399-K399)*Z399*AA399*H399,IF(LEFT(E399,3)="USD",IF(O399=0,"",(O399-K399)*Z399*AA399*H399/O399),AD399*10*H399)))</f>
        <v/>
      </c>
      <c r="AJ399" s="28">
        <f>IF(O399="","",IF(S399="",IF(AI399="",0,AI399),S399)-IF(R399="",0,R399))</f>
        <v/>
      </c>
      <c r="AK399" s="18">
        <f>IF(C399="","",IF(OR(O399="",P399=""),"Open",IF(ABS(AJ399)&lt;=BEThreshold,"BE",IF(AJ399&gt;0,"Win","Loss"))))</f>
        <v/>
      </c>
      <c r="AL399" s="28">
        <f>IF(OR(C399="",AK399="Open"),"",InitialCapital+SUMIFS($AJ$2:AJ399,$AK$2:AK399,"&lt;&gt;Open"))</f>
        <v/>
      </c>
      <c r="AM399" s="18">
        <f>IF(OR(C399="",AK399=""),"",IF(AK399="Open","No","Yes"))</f>
        <v/>
      </c>
    </row>
    <row r="400" ht="18" customHeight="1">
      <c r="A400" s="18">
        <f>IF(C400="","",COUNTA($C$2:C400))</f>
        <v/>
      </c>
      <c r="B400" s="18">
        <f>IF(C400="","",TEXT(C400,"dddd"))</f>
        <v/>
      </c>
      <c r="C400" s="19" t="n"/>
      <c r="D400" s="20" t="n"/>
      <c r="E400" s="21" t="n"/>
      <c r="F400" s="21" t="n"/>
      <c r="G400" s="21" t="n"/>
      <c r="H400" s="22" t="n"/>
      <c r="I400" s="23" t="n"/>
      <c r="J400" s="22" t="n"/>
      <c r="K400" s="24" t="n"/>
      <c r="L400" s="24" t="n"/>
      <c r="M400" s="24" t="n"/>
      <c r="N400" s="21" t="n"/>
      <c r="O400" s="24" t="n"/>
      <c r="P400" s="19" t="n"/>
      <c r="Q400" s="20" t="n"/>
      <c r="R400" s="23" t="n"/>
      <c r="S400" s="23" t="n"/>
      <c r="T400" s="21" t="n"/>
      <c r="U400" s="21" t="n"/>
      <c r="V400" s="21" t="n"/>
      <c r="W400" s="21" t="n"/>
      <c r="X400" s="21" t="n"/>
      <c r="Y400" s="25">
        <f>IF($C400="","",IF(E400="XAUUSD",0.1,IF(ISNUMBER(SEARCH("JPY",E400)),0.01,0.0001)))</f>
        <v/>
      </c>
      <c r="Z400" s="18">
        <f>IF($C400="","",IF(F400="Sell",-1,1))</f>
        <v/>
      </c>
      <c r="AA400" s="18">
        <f>IF($C400="","",IF(E400="XAUUSD",100,100000))</f>
        <v/>
      </c>
      <c r="AB400" s="26">
        <f>IF(OR(K400="",L400=""),"",ABS(K400-L400)/Y400)</f>
        <v/>
      </c>
      <c r="AC400" s="26">
        <f>IF(OR(K400="",M400=""),"",ABS(M400-K400)/Y400)</f>
        <v/>
      </c>
      <c r="AD400" s="26">
        <f>IF(OR(K400="",O400=""),"",(O400-K400)*Z400/Y400)</f>
        <v/>
      </c>
      <c r="AE400" s="27">
        <f>IF(OR(AB400="",AB400=0,AC400=""),"",AC400/AB400)</f>
        <v/>
      </c>
      <c r="AF400" s="27">
        <f>IF(OR(AB400="",AB400=0,AD400=""),"",AD400/AB400)</f>
        <v/>
      </c>
      <c r="AG400" s="27">
        <f>IF(OR(C400="",P400=""),"",((P400+IF(Q400="",0,Q400))-(C400+IF(D400="",0,D400)))*24)</f>
        <v/>
      </c>
      <c r="AH400" s="18">
        <f>IF(AG400="","",INT(AG400/24)&amp;"d "&amp;INT(MOD(AG400,24))&amp;"h "&amp;INT(MOD(AG400*60,60))&amp;"m")</f>
        <v/>
      </c>
      <c r="AI400" s="28">
        <f>IF(OR(O400="",K400="",H400=""),"",IF(OR(E400="XAUUSD",RIGHT(E400,3)="USD"),(O400-K400)*Z400*AA400*H400,IF(LEFT(E400,3)="USD",IF(O400=0,"",(O400-K400)*Z400*AA400*H400/O400),AD400*10*H400)))</f>
        <v/>
      </c>
      <c r="AJ400" s="28">
        <f>IF(O400="","",IF(S400="",IF(AI400="",0,AI400),S400)-IF(R400="",0,R400))</f>
        <v/>
      </c>
      <c r="AK400" s="18">
        <f>IF(C400="","",IF(OR(O400="",P400=""),"Open",IF(ABS(AJ400)&lt;=BEThreshold,"BE",IF(AJ400&gt;0,"Win","Loss"))))</f>
        <v/>
      </c>
      <c r="AL400" s="28">
        <f>IF(OR(C400="",AK400="Open"),"",InitialCapital+SUMIFS($AJ$2:AJ400,$AK$2:AK400,"&lt;&gt;Open"))</f>
        <v/>
      </c>
      <c r="AM400" s="18">
        <f>IF(OR(C400="",AK400=""),"",IF(AK400="Open","No","Yes"))</f>
        <v/>
      </c>
    </row>
    <row r="401" ht="18" customHeight="1">
      <c r="A401" s="18">
        <f>IF(C401="","",COUNTA($C$2:C401))</f>
        <v/>
      </c>
      <c r="B401" s="18">
        <f>IF(C401="","",TEXT(C401,"dddd"))</f>
        <v/>
      </c>
      <c r="C401" s="19" t="n"/>
      <c r="D401" s="20" t="n"/>
      <c r="E401" s="21" t="n"/>
      <c r="F401" s="21" t="n"/>
      <c r="G401" s="21" t="n"/>
      <c r="H401" s="22" t="n"/>
      <c r="I401" s="23" t="n"/>
      <c r="J401" s="22" t="n"/>
      <c r="K401" s="24" t="n"/>
      <c r="L401" s="24" t="n"/>
      <c r="M401" s="24" t="n"/>
      <c r="N401" s="21" t="n"/>
      <c r="O401" s="24" t="n"/>
      <c r="P401" s="19" t="n"/>
      <c r="Q401" s="20" t="n"/>
      <c r="R401" s="23" t="n"/>
      <c r="S401" s="23" t="n"/>
      <c r="T401" s="21" t="n"/>
      <c r="U401" s="21" t="n"/>
      <c r="V401" s="21" t="n"/>
      <c r="W401" s="21" t="n"/>
      <c r="X401" s="21" t="n"/>
      <c r="Y401" s="25">
        <f>IF($C401="","",IF(E401="XAUUSD",0.1,IF(ISNUMBER(SEARCH("JPY",E401)),0.01,0.0001)))</f>
        <v/>
      </c>
      <c r="Z401" s="18">
        <f>IF($C401="","",IF(F401="Sell",-1,1))</f>
        <v/>
      </c>
      <c r="AA401" s="18">
        <f>IF($C401="","",IF(E401="XAUUSD",100,100000))</f>
        <v/>
      </c>
      <c r="AB401" s="26">
        <f>IF(OR(K401="",L401=""),"",ABS(K401-L401)/Y401)</f>
        <v/>
      </c>
      <c r="AC401" s="26">
        <f>IF(OR(K401="",M401=""),"",ABS(M401-K401)/Y401)</f>
        <v/>
      </c>
      <c r="AD401" s="26">
        <f>IF(OR(K401="",O401=""),"",(O401-K401)*Z401/Y401)</f>
        <v/>
      </c>
      <c r="AE401" s="27">
        <f>IF(OR(AB401="",AB401=0,AC401=""),"",AC401/AB401)</f>
        <v/>
      </c>
      <c r="AF401" s="27">
        <f>IF(OR(AB401="",AB401=0,AD401=""),"",AD401/AB401)</f>
        <v/>
      </c>
      <c r="AG401" s="27">
        <f>IF(OR(C401="",P401=""),"",((P401+IF(Q401="",0,Q401))-(C401+IF(D401="",0,D401)))*24)</f>
        <v/>
      </c>
      <c r="AH401" s="18">
        <f>IF(AG401="","",INT(AG401/24)&amp;"d "&amp;INT(MOD(AG401,24))&amp;"h "&amp;INT(MOD(AG401*60,60))&amp;"m")</f>
        <v/>
      </c>
      <c r="AI401" s="28">
        <f>IF(OR(O401="",K401="",H401=""),"",IF(OR(E401="XAUUSD",RIGHT(E401,3)="USD"),(O401-K401)*Z401*AA401*H401,IF(LEFT(E401,3)="USD",IF(O401=0,"",(O401-K401)*Z401*AA401*H401/O401),AD401*10*H401)))</f>
        <v/>
      </c>
      <c r="AJ401" s="28">
        <f>IF(O401="","",IF(S401="",IF(AI401="",0,AI401),S401)-IF(R401="",0,R401))</f>
        <v/>
      </c>
      <c r="AK401" s="18">
        <f>IF(C401="","",IF(OR(O401="",P401=""),"Open",IF(ABS(AJ401)&lt;=BEThreshold,"BE",IF(AJ401&gt;0,"Win","Loss"))))</f>
        <v/>
      </c>
      <c r="AL401" s="28">
        <f>IF(OR(C401="",AK401="Open"),"",InitialCapital+SUMIFS($AJ$2:AJ401,$AK$2:AK401,"&lt;&gt;Open"))</f>
        <v/>
      </c>
      <c r="AM401" s="18">
        <f>IF(OR(C401="",AK401=""),"",IF(AK401="Open","No","Yes"))</f>
        <v/>
      </c>
    </row>
  </sheetData>
  <autoFilter ref="A1:AM401"/>
  <conditionalFormatting sqref="AJ2:AJ4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D2:AD401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AK2:AK401">
    <cfRule type="cellIs" priority="5" operator="equal" dxfId="0">
      <formula>"Win"</formula>
    </cfRule>
    <cfRule type="cellIs" priority="6" operator="equal" dxfId="1">
      <formula>"Loss"</formula>
    </cfRule>
    <cfRule type="cellIs" priority="7" operator="equal" dxfId="4">
      <formula>"BE"</formula>
    </cfRule>
    <cfRule type="cellIs" priority="8" operator="equal" dxfId="5">
      <formula>"Open"</formula>
    </cfRule>
  </conditionalFormatting>
  <conditionalFormatting sqref="F2:F401">
    <cfRule type="cellIs" priority="9" operator="equal" dxfId="2">
      <formula>"Buy"</formula>
    </cfRule>
    <cfRule type="cellIs" priority="10" operator="equal" dxfId="3">
      <formula>"Sell"</formula>
    </cfRule>
  </conditionalFormatting>
  <conditionalFormatting sqref="L2:L401">
    <cfRule type="expression" priority="11" dxfId="6">
      <formula>AND($C2&lt;&gt;"",$L2&lt;&gt;"",$K2&lt;&gt;"",OR(AND($F2="Buy",$L2&gt;=$K2),AND($F2="Sell",$L2&lt;=$K2)))</formula>
    </cfRule>
  </conditionalFormatting>
  <dataValidations count="9">
    <dataValidation sqref="E2:E401" showDropDown="0" showInputMessage="0" showErrorMessage="0" allowBlank="1" errorTitle="Invalid" error="Pick a value from the list" promptTitle="Input" prompt="Choose from the list" type="list">
      <formula1>=ListPairs</formula1>
    </dataValidation>
    <dataValidation sqref="F2:F401" showDropDown="0" showInputMessage="0" showErrorMessage="0" allowBlank="1" errorTitle="Invalid" error="Pick a value from the list" promptTitle="Input" prompt="Choose from the list" type="list">
      <formula1>=ListPositions</formula1>
    </dataValidation>
    <dataValidation sqref="G2:G401" showDropDown="0" showInputMessage="0" showErrorMessage="0" allowBlank="1" errorTitle="Invalid" error="Pick a value from the list" promptTitle="Input" prompt="Choose from the list" type="list">
      <formula1>=ListSessions</formula1>
    </dataValidation>
    <dataValidation sqref="N2:N401" showDropDown="0" showInputMessage="0" showErrorMessage="0" allowBlank="1" errorTitle="Invalid" error="Pick a value from the list" promptTitle="Input" prompt="Choose from the list" type="list">
      <formula1>=ListSetups</formula1>
    </dataValidation>
    <dataValidation sqref="U2:U401" showDropDown="0" showInputMessage="0" showErrorMessage="0" allowBlank="1" errorTitle="Invalid" error="Pick a value from the list" promptTitle="Input" prompt="Choose from the list" type="list">
      <formula1>=ListPlan</formula1>
    </dataValidation>
    <dataValidation sqref="V2:V401" showDropDown="0" showInputMessage="0" showErrorMessage="0" allowBlank="1" errorTitle="Invalid" error="Pick a value from the list" promptTitle="Input" prompt="Choose from the list" type="list">
      <formula1>=ListExitReason</formula1>
    </dataValidation>
    <dataValidation sqref="W2:W401" showDropDown="0" showInputMessage="0" showErrorMessage="0" allowBlank="1" errorTitle="Invalid" error="Pick a value from the list" promptTitle="Input" prompt="Choose from the list" type="list">
      <formula1>=ListMarket</formula1>
    </dataValidation>
    <dataValidation sqref="H2:H401" showDropDown="0" showInputMessage="0" showErrorMessage="0" allowBlank="1" error="Lot size must be greater than 0" type="decimal" operator="greaterThan">
      <formula1>0</formula1>
    </dataValidation>
    <dataValidation sqref="K2:O401" showDropDown="0" showInputMessage="0" showErrorMessage="0" allowBlank="1" type="decimal" operator="greaterThan">
      <formula1>0</formula1>
    </dataValidation>
  </dataValidations>
  <pageMargins left="0.75" right="0.75" top="1" bottom="1" header="0.5" footer="0.5"/>
  <pageSetup orientation="landscape" fitToHeight="0" fitToWidth="1"/>
  <headerFooter>
    <oddHeader>&amp;LAurum Ledger  ·  Trade log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N4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2" customHeight="1">
      <c r="A1" s="1" t="inlineStr">
        <is>
          <t>AURUM LEDGER  ·  PERFORMANCE DESK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Filters drive every KPI, chart and table on this sheet. Open trades are excluded.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8" customHeight="1"/>
    <row r="4">
      <c r="A4" s="6" t="inlineStr">
        <is>
          <t>FILTERS</t>
        </is>
      </c>
    </row>
    <row r="5">
      <c r="A5" s="29" t="inlineStr">
        <is>
          <t>PAIR</t>
        </is>
      </c>
      <c r="C5" s="29" t="inlineStr">
        <is>
          <t>WEEKDAY</t>
        </is>
      </c>
      <c r="E5" s="29" t="inlineStr">
        <is>
          <t>SESSION</t>
        </is>
      </c>
      <c r="G5" s="29" t="inlineStr">
        <is>
          <t>SETUP</t>
        </is>
      </c>
      <c r="I5" s="29" t="inlineStr">
        <is>
          <t>FROM</t>
        </is>
      </c>
      <c r="K5" s="29" t="inlineStr">
        <is>
          <t>TO</t>
        </is>
      </c>
      <c r="N5" s="9" t="inlineStr">
        <is>
          <t>Reset filters → set each dropdown to All and clear dates.</t>
        </is>
      </c>
    </row>
    <row r="6">
      <c r="B6" s="30" t="inlineStr">
        <is>
          <t>All</t>
        </is>
      </c>
      <c r="D6" s="30" t="inlineStr">
        <is>
          <t>All</t>
        </is>
      </c>
      <c r="F6" s="30" t="inlineStr">
        <is>
          <t>All</t>
        </is>
      </c>
      <c r="H6" s="30" t="inlineStr">
        <is>
          <t>All</t>
        </is>
      </c>
      <c r="J6" s="31" t="n"/>
      <c r="L6" s="31" t="n"/>
    </row>
    <row r="8">
      <c r="A8" s="6" t="inlineStr">
        <is>
          <t>HEADLINE KPIs  (filtered closed trades only)</t>
        </is>
      </c>
    </row>
    <row r="10">
      <c r="A10" s="32" t="inlineStr">
        <is>
          <t>CLOSED TRADES</t>
        </is>
      </c>
      <c r="B10" s="33" t="n"/>
      <c r="C10" s="32" t="inlineStr">
        <is>
          <t>WIN RATE</t>
        </is>
      </c>
      <c r="D10" s="33" t="n"/>
      <c r="E10" s="32" t="inlineStr">
        <is>
          <t>TOTAL PnL</t>
        </is>
      </c>
      <c r="F10" s="33" t="n"/>
      <c r="G10" s="32" t="inlineStr">
        <is>
          <t>PROFIT FACTOR</t>
        </is>
      </c>
      <c r="H10" s="33" t="n"/>
      <c r="I10" s="32" t="inlineStr">
        <is>
          <t>EQUITY</t>
        </is>
      </c>
      <c r="J10" s="33" t="n"/>
      <c r="K10" s="32" t="inlineStr">
        <is>
          <t>EXPECTANCY</t>
        </is>
      </c>
      <c r="L10" s="33" t="n"/>
    </row>
    <row r="11">
      <c r="A11" s="34">
        <f>B20</f>
        <v/>
      </c>
      <c r="B11" s="33" t="n"/>
      <c r="C11" s="35">
        <f>B31</f>
        <v/>
      </c>
      <c r="D11" s="33" t="n"/>
      <c r="E11" s="36">
        <f>B24</f>
        <v/>
      </c>
      <c r="F11" s="33" t="n"/>
      <c r="G11" s="37">
        <f>B32</f>
        <v/>
      </c>
      <c r="H11" s="33" t="n"/>
      <c r="I11" s="36">
        <f>B33</f>
        <v/>
      </c>
      <c r="J11" s="33" t="n"/>
      <c r="K11" s="36">
        <f>B34</f>
        <v/>
      </c>
      <c r="L11" s="33" t="n"/>
    </row>
    <row r="13">
      <c r="A13" s="32" t="inlineStr">
        <is>
          <t>WINS</t>
        </is>
      </c>
      <c r="B13" s="33" t="n"/>
      <c r="C13" s="32" t="inlineStr">
        <is>
          <t>LOSSES</t>
        </is>
      </c>
      <c r="D13" s="33" t="n"/>
      <c r="E13" s="32" t="inlineStr">
        <is>
          <t>BREAKEVEN</t>
        </is>
      </c>
      <c r="F13" s="33" t="n"/>
      <c r="G13" s="32" t="inlineStr">
        <is>
          <t>LARGEST WIN*</t>
        </is>
      </c>
      <c r="H13" s="33" t="n"/>
      <c r="I13" s="32" t="inlineStr">
        <is>
          <t>LARGEST LOSS*</t>
        </is>
      </c>
      <c r="J13" s="33" t="n"/>
      <c r="K13" s="32" t="inlineStr">
        <is>
          <t>AVG WIN / AVG LOSS</t>
        </is>
      </c>
      <c r="L13" s="33" t="n"/>
    </row>
    <row r="14">
      <c r="A14" s="34">
        <f>B21</f>
        <v/>
      </c>
      <c r="B14" s="33" t="n"/>
      <c r="C14" s="34">
        <f>B22</f>
        <v/>
      </c>
      <c r="D14" s="33" t="n"/>
      <c r="E14" s="34">
        <f>B23</f>
        <v/>
      </c>
      <c r="F14" s="33" t="n"/>
      <c r="G14" s="36">
        <f>B27</f>
        <v/>
      </c>
      <c r="H14" s="33" t="n"/>
      <c r="I14" s="36">
        <f>B28</f>
        <v/>
      </c>
      <c r="J14" s="33" t="n"/>
      <c r="K14" s="37">
        <f>IF(OR(B29="—",B30="—"),"—",TEXT(B29,"#,##0.00")&amp;" / "&amp;TEXT(B30,"#,##0.00"))</f>
        <v/>
      </c>
      <c r="L14" s="33" t="n"/>
    </row>
    <row r="16">
      <c r="A16" s="38" t="inlineStr">
        <is>
          <t>Largest win/loss marked * use the unfiltered log (Excel limitation). The web desk applies filters to those two figures. All other KPIs honour the dropdowns.</t>
        </is>
      </c>
    </row>
    <row r="17">
      <c r="A17" s="39">
        <f>IF(B20=0,"No closed trades in this slice. Enter tickets on 02_Trade_Log.","Slice · "&amp;B20&amp;" closed · "&amp;TEXT(B21,"0")&amp;"W "&amp;TEXT(B22,"0")&amp;"L "&amp;TEXT(B23,"0")&amp;" BE · PnL "&amp;TEXT(B24,"+#,##0.00;-#,##0.00"))</f>
        <v/>
      </c>
    </row>
    <row r="19" hidden="1">
      <c r="A19" s="40" t="inlineStr">
        <is>
          <t>ENGINE (do not edit)</t>
        </is>
      </c>
    </row>
    <row r="20" hidden="1">
      <c r="A20" s="40" t="inlineStr">
        <is>
          <t>Closed</t>
        </is>
      </c>
      <c r="B20" s="4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)</f>
        <v/>
      </c>
    </row>
    <row r="21" hidden="1">
      <c r="A21" s="40" t="inlineStr">
        <is>
          <t>Wins</t>
        </is>
      </c>
      <c r="B21" s="4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K$2:$AK$401="Win"))</f>
        <v/>
      </c>
    </row>
    <row r="22" hidden="1">
      <c r="A22" s="40" t="inlineStr">
        <is>
          <t>Losses</t>
        </is>
      </c>
      <c r="B22" s="4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K$2:$AK$401="Loss"))</f>
        <v/>
      </c>
    </row>
    <row r="23" hidden="1">
      <c r="A23" s="40" t="inlineStr">
        <is>
          <t>BE</t>
        </is>
      </c>
      <c r="B23" s="4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K$2:$AK$401="BE"))</f>
        <v/>
      </c>
    </row>
    <row r="24" hidden="1">
      <c r="A24" s="40" t="inlineStr">
        <is>
          <t>Total PnL</t>
        </is>
      </c>
      <c r="B24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J$2:$AJ$401))</f>
        <v/>
      </c>
    </row>
    <row r="25" hidden="1">
      <c r="A25" s="40" t="inlineStr">
        <is>
          <t>Gross profit</t>
        </is>
      </c>
      <c r="B25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J$2:$AJ$401&gt;0)*('02_Trade_Log'!$AJ$2:$AJ$401))</f>
        <v/>
      </c>
    </row>
    <row r="26" hidden="1">
      <c r="A26" s="40" t="inlineStr">
        <is>
          <t>Gross loss signed</t>
        </is>
      </c>
      <c r="B26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J$2:$AJ$401&lt;0)*('02_Trade_Log'!$AJ$2:$AJ$401))</f>
        <v/>
      </c>
    </row>
    <row r="27" hidden="1">
      <c r="A27" s="40" t="inlineStr">
        <is>
          <t>Largest win*</t>
        </is>
      </c>
      <c r="B27" s="42">
        <f>IF(B21=0,"—",MAXIFS('02_Trade_Log'!$AJ$2:$AJ$401,'02_Trade_Log'!$AK$2:$AK$401,"Win",'02_Trade_Log'!$C$2:$C$401,"&lt;&gt;"))</f>
        <v/>
      </c>
    </row>
    <row r="28" hidden="1">
      <c r="A28" s="40" t="inlineStr">
        <is>
          <t>Largest loss*</t>
        </is>
      </c>
      <c r="B28" s="42">
        <f>IF(B22=0,"—",MINIFS('02_Trade_Log'!$AJ$2:$AJ$401,'02_Trade_Log'!$AK$2:$AK$401,"Loss",'02_Trade_Log'!$C$2:$C$401,"&lt;&gt;"))</f>
        <v/>
      </c>
    </row>
    <row r="29" hidden="1">
      <c r="A29" s="40" t="inlineStr">
        <is>
          <t>Avg win</t>
        </is>
      </c>
      <c r="B29" s="42">
        <f>IF(B21=0,"—",B25/B21)</f>
        <v/>
      </c>
    </row>
    <row r="30" hidden="1">
      <c r="A30" s="40" t="inlineStr">
        <is>
          <t>Avg loss</t>
        </is>
      </c>
      <c r="B30" s="42">
        <f>IF(B22=0,"—",B26/B22)</f>
        <v/>
      </c>
    </row>
    <row r="31" hidden="1">
      <c r="A31" s="40" t="inlineStr">
        <is>
          <t>Win rate</t>
        </is>
      </c>
      <c r="B31" s="43">
        <f>IF(B20=0,"—",B21/B20)</f>
        <v/>
      </c>
    </row>
    <row r="32" hidden="1">
      <c r="A32" s="40" t="inlineStr">
        <is>
          <t>Profit factor</t>
        </is>
      </c>
      <c r="B32">
        <f>IF(ABS(B26)=0,IF(B25&gt;0,"∞","—"),B25/ABS(B26))</f>
        <v/>
      </c>
    </row>
    <row r="33" hidden="1">
      <c r="A33" s="40" t="inlineStr">
        <is>
          <t>Equity</t>
        </is>
      </c>
      <c r="B33" s="42">
        <f>InitialCapital+B24</f>
        <v/>
      </c>
    </row>
    <row r="34" hidden="1">
      <c r="A34" s="40" t="inlineStr">
        <is>
          <t>Expectancy</t>
        </is>
      </c>
      <c r="B34" s="42">
        <f>IF(B20=0,"—",B24/B20)</f>
        <v/>
      </c>
    </row>
    <row r="35" hidden="1">
      <c r="A35" s="40" t="inlineStr">
        <is>
          <t>Win rate excl BE</t>
        </is>
      </c>
      <c r="B35" s="43">
        <f>IF(B21+B22=0,"—",B21/(B21+B22))</f>
        <v/>
      </c>
    </row>
    <row r="47">
      <c r="A47" s="38" t="inlineStr">
        <is>
          <t>Charts read 04_Breakdowns (live). Equity uses the first 80 log rows — keep trades at the top of 02_Trade_Log.</t>
        </is>
      </c>
    </row>
  </sheetData>
  <mergeCells count="31">
    <mergeCell ref="A11:B11"/>
    <mergeCell ref="G11:H11"/>
    <mergeCell ref="I11:J11"/>
    <mergeCell ref="C14:D14"/>
    <mergeCell ref="E14:F14"/>
    <mergeCell ref="A1:N1"/>
    <mergeCell ref="K11:L11"/>
    <mergeCell ref="C10:D10"/>
    <mergeCell ref="E10:F10"/>
    <mergeCell ref="G10:H10"/>
    <mergeCell ref="A16:N16"/>
    <mergeCell ref="E13:F13"/>
    <mergeCell ref="G13:H13"/>
    <mergeCell ref="C11:D11"/>
    <mergeCell ref="A2:N2"/>
    <mergeCell ref="E11:F11"/>
    <mergeCell ref="A14:B14"/>
    <mergeCell ref="G14:H14"/>
    <mergeCell ref="I14:J14"/>
    <mergeCell ref="A47:N47"/>
    <mergeCell ref="K14:L14"/>
    <mergeCell ref="A4:B4"/>
    <mergeCell ref="A17:N17"/>
    <mergeCell ref="A8:N8"/>
    <mergeCell ref="I10:J10"/>
    <mergeCell ref="A10:B10"/>
    <mergeCell ref="K10:L10"/>
    <mergeCell ref="A13:B13"/>
    <mergeCell ref="C13:D13"/>
    <mergeCell ref="I13:J13"/>
    <mergeCell ref="K13:L13"/>
  </mergeCells>
  <dataValidations count="4">
    <dataValidation sqref="B6" showDropDown="0" showInputMessage="0" showErrorMessage="0" allowBlank="0" type="list">
      <formula1>=FilterPairs</formula1>
    </dataValidation>
    <dataValidation sqref="D6" showDropDown="0" showInputMessage="0" showErrorMessage="0" allowBlank="0" type="list">
      <formula1>=FilterDays</formula1>
    </dataValidation>
    <dataValidation sqref="F6" showDropDown="0" showInputMessage="0" showErrorMessage="0" allowBlank="0" type="list">
      <formula1>=FilterSessions</formula1>
    </dataValidation>
    <dataValidation sqref="H6" showDropDown="0" showInputMessage="0" showErrorMessage="0" allowBlank="0" type="list">
      <formula1>=FilterSetups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A6F7F"/>
    <outlinePr summaryBelow="1" summaryRight="1"/>
    <pageSetUpPr/>
  </sheetPr>
  <dimension ref="A1:P6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8" customWidth="1" min="14" max="14"/>
    <col width="12" customWidth="1" min="15" max="15"/>
    <col width="12" customWidth="1" min="16" max="16"/>
  </cols>
  <sheetData>
    <row r="1" ht="32" customHeight="1">
      <c r="A1" s="1" t="inlineStr">
        <is>
          <t>AURUM LEDGER  ·  BREAKDOWNS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Pair, weekday, session, setup, monthly. Same filters as the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BY CURRENCY PAIR</t>
        </is>
      </c>
      <c r="N4" s="44" t="inlineStr">
        <is>
          <t>CHART DATA (dashboard)</t>
        </is>
      </c>
    </row>
    <row r="5">
      <c r="A5" s="45" t="inlineStr">
        <is>
          <t>Slice</t>
        </is>
      </c>
      <c r="B5" s="45" t="inlineStr">
        <is>
          <t>Trades</t>
        </is>
      </c>
      <c r="C5" s="45" t="inlineStr">
        <is>
          <t>Wins</t>
        </is>
      </c>
      <c r="D5" s="45" t="inlineStr">
        <is>
          <t>Losses</t>
        </is>
      </c>
      <c r="E5" s="45" t="inlineStr">
        <is>
          <t>BE</t>
        </is>
      </c>
      <c r="F5" s="45" t="inlineStr">
        <is>
          <t>Win rate</t>
        </is>
      </c>
      <c r="G5" s="45" t="inlineStr">
        <is>
          <t>PnL</t>
        </is>
      </c>
      <c r="H5" s="45" t="inlineStr">
        <is>
          <t>Profit factor</t>
        </is>
      </c>
      <c r="I5" s="45" t="inlineStr">
        <is>
          <t>Avg win</t>
        </is>
      </c>
      <c r="J5" s="45" t="inlineStr">
        <is>
          <t>Avg loss</t>
        </is>
      </c>
      <c r="K5" s="45" t="inlineStr">
        <is>
          <t>Avg trade</t>
        </is>
      </c>
      <c r="N5" t="inlineStr">
        <is>
          <t>Weekday</t>
        </is>
      </c>
      <c r="O5" t="inlineStr">
        <is>
          <t>PnL</t>
        </is>
      </c>
      <c r="P5" t="inlineStr">
        <is>
          <t>Win rate</t>
        </is>
      </c>
    </row>
    <row r="6">
      <c r="A6" s="46" t="inlineStr">
        <is>
          <t>AUDCHF</t>
        </is>
      </c>
      <c r="B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)</f>
        <v/>
      </c>
      <c r="C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Win"))</f>
        <v/>
      </c>
      <c r="D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Loss"))</f>
        <v/>
      </c>
      <c r="E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BE"))</f>
        <v/>
      </c>
      <c r="F6" s="43">
        <f>IF(B6=0,"—",C6/B6)</f>
        <v/>
      </c>
      <c r="G6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$401))</f>
        <v/>
      </c>
      <c r="H6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&lt;0)*('02_Trade_Log'!$AJ$2:$AJ$401))))</f>
        <v/>
      </c>
      <c r="I6" s="42">
        <f>IF(C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Win")*('02_Trade_Log'!$AJ$2:$AJ$401))/C6)</f>
        <v/>
      </c>
      <c r="J6" s="42">
        <f>IF(D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Loss")*('02_Trade_Log'!$AJ$2:$AJ$401))/D6)</f>
        <v/>
      </c>
      <c r="K6" s="42">
        <f>IF(B6=0,"—",G6/B6)</f>
        <v/>
      </c>
      <c r="N6">
        <f>A39</f>
        <v/>
      </c>
      <c r="O6" s="42">
        <f>G39</f>
        <v/>
      </c>
      <c r="P6" s="43">
        <f>IF(ISNUMBER(F39),F39,0)</f>
        <v/>
      </c>
    </row>
    <row r="7">
      <c r="A7" s="48" t="inlineStr">
        <is>
          <t>AUDJPY</t>
        </is>
      </c>
      <c r="B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)</f>
        <v/>
      </c>
      <c r="C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Win"))</f>
        <v/>
      </c>
      <c r="D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Loss"))</f>
        <v/>
      </c>
      <c r="E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BE"))</f>
        <v/>
      </c>
      <c r="F7" s="50">
        <f>IF(B7=0,"—",C7/B7)</f>
        <v/>
      </c>
      <c r="G7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$401))</f>
        <v/>
      </c>
      <c r="H7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&lt;0)*('02_Trade_Log'!$AJ$2:$AJ$401))))</f>
        <v/>
      </c>
      <c r="I7" s="51">
        <f>IF(C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Win")*('02_Trade_Log'!$AJ$2:$AJ$401))/C7)</f>
        <v/>
      </c>
      <c r="J7" s="51">
        <f>IF(D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Loss")*('02_Trade_Log'!$AJ$2:$AJ$401))/D7)</f>
        <v/>
      </c>
      <c r="K7" s="51">
        <f>IF(B7=0,"—",G7/B7)</f>
        <v/>
      </c>
      <c r="N7">
        <f>A40</f>
        <v/>
      </c>
      <c r="O7" s="42">
        <f>G40</f>
        <v/>
      </c>
      <c r="P7" s="43">
        <f>IF(ISNUMBER(F40),F40,0)</f>
        <v/>
      </c>
    </row>
    <row r="8">
      <c r="A8" s="46" t="inlineStr">
        <is>
          <t>AUDCAD</t>
        </is>
      </c>
      <c r="B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)</f>
        <v/>
      </c>
      <c r="C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Win"))</f>
        <v/>
      </c>
      <c r="D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Loss"))</f>
        <v/>
      </c>
      <c r="E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BE"))</f>
        <v/>
      </c>
      <c r="F8" s="43">
        <f>IF(B8=0,"—",C8/B8)</f>
        <v/>
      </c>
      <c r="G8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$401))</f>
        <v/>
      </c>
      <c r="H8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&lt;0)*('02_Trade_Log'!$AJ$2:$AJ$401))))</f>
        <v/>
      </c>
      <c r="I8" s="42">
        <f>IF(C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Win")*('02_Trade_Log'!$AJ$2:$AJ$401))/C8)</f>
        <v/>
      </c>
      <c r="J8" s="42">
        <f>IF(D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Loss")*('02_Trade_Log'!$AJ$2:$AJ$401))/D8)</f>
        <v/>
      </c>
      <c r="K8" s="42">
        <f>IF(B8=0,"—",G8/B8)</f>
        <v/>
      </c>
      <c r="N8">
        <f>A41</f>
        <v/>
      </c>
      <c r="O8" s="42">
        <f>G41</f>
        <v/>
      </c>
      <c r="P8" s="43">
        <f>IF(ISNUMBER(F41),F41,0)</f>
        <v/>
      </c>
    </row>
    <row r="9">
      <c r="A9" s="48" t="inlineStr">
        <is>
          <t>AUDUSD</t>
        </is>
      </c>
      <c r="B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)</f>
        <v/>
      </c>
      <c r="C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Win"))</f>
        <v/>
      </c>
      <c r="D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Loss"))</f>
        <v/>
      </c>
      <c r="E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BE"))</f>
        <v/>
      </c>
      <c r="F9" s="50">
        <f>IF(B9=0,"—",C9/B9)</f>
        <v/>
      </c>
      <c r="G9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$401))</f>
        <v/>
      </c>
      <c r="H9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&lt;0)*('02_Trade_Log'!$AJ$2:$AJ$401))))</f>
        <v/>
      </c>
      <c r="I9" s="51">
        <f>IF(C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Win")*('02_Trade_Log'!$AJ$2:$AJ$401))/C9)</f>
        <v/>
      </c>
      <c r="J9" s="51">
        <f>IF(D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Loss")*('02_Trade_Log'!$AJ$2:$AJ$401))/D9)</f>
        <v/>
      </c>
      <c r="K9" s="51">
        <f>IF(B9=0,"—",G9/B9)</f>
        <v/>
      </c>
      <c r="N9">
        <f>A42</f>
        <v/>
      </c>
      <c r="O9" s="42">
        <f>G42</f>
        <v/>
      </c>
      <c r="P9" s="43">
        <f>IF(ISNUMBER(F42),F42,0)</f>
        <v/>
      </c>
    </row>
    <row r="10">
      <c r="A10" s="46" t="inlineStr">
        <is>
          <t>AUDNZD</t>
        </is>
      </c>
      <c r="B1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)</f>
        <v/>
      </c>
      <c r="C1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Win"))</f>
        <v/>
      </c>
      <c r="D1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Loss"))</f>
        <v/>
      </c>
      <c r="E1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BE"))</f>
        <v/>
      </c>
      <c r="F10" s="43">
        <f>IF(B10=0,"—",C10/B10)</f>
        <v/>
      </c>
      <c r="G10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$401))</f>
        <v/>
      </c>
      <c r="H10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&lt;0)*('02_Trade_Log'!$AJ$2:$AJ$401))))</f>
        <v/>
      </c>
      <c r="I10" s="42">
        <f>IF(C10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Win")*('02_Trade_Log'!$AJ$2:$AJ$401))/C10)</f>
        <v/>
      </c>
      <c r="J10" s="42">
        <f>IF(D10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Loss")*('02_Trade_Log'!$AJ$2:$AJ$401))/D10)</f>
        <v/>
      </c>
      <c r="K10" s="42">
        <f>IF(B10=0,"—",G10/B10)</f>
        <v/>
      </c>
      <c r="N10">
        <f>A43</f>
        <v/>
      </c>
      <c r="O10" s="42">
        <f>G43</f>
        <v/>
      </c>
      <c r="P10" s="43">
        <f>IF(ISNUMBER(F43),F43,0)</f>
        <v/>
      </c>
    </row>
    <row r="11">
      <c r="A11" s="48" t="inlineStr">
        <is>
          <t>EURGBP</t>
        </is>
      </c>
      <c r="B1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)</f>
        <v/>
      </c>
      <c r="C1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Win"))</f>
        <v/>
      </c>
      <c r="D1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Loss"))</f>
        <v/>
      </c>
      <c r="E1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BE"))</f>
        <v/>
      </c>
      <c r="F11" s="50">
        <f>IF(B11=0,"—",C11/B11)</f>
        <v/>
      </c>
      <c r="G11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$401))</f>
        <v/>
      </c>
      <c r="H11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&lt;0)*('02_Trade_Log'!$AJ$2:$AJ$401))))</f>
        <v/>
      </c>
      <c r="I11" s="51">
        <f>IF(C11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Win")*('02_Trade_Log'!$AJ$2:$AJ$401))/C11)</f>
        <v/>
      </c>
      <c r="J11" s="51">
        <f>IF(D11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Loss")*('02_Trade_Log'!$AJ$2:$AJ$401))/D11)</f>
        <v/>
      </c>
      <c r="K11" s="51">
        <f>IF(B11=0,"—",G11/B11)</f>
        <v/>
      </c>
      <c r="N11">
        <f>A44</f>
        <v/>
      </c>
      <c r="O11" s="42">
        <f>G44</f>
        <v/>
      </c>
      <c r="P11" s="43">
        <f>IF(ISNUMBER(F44),F44,0)</f>
        <v/>
      </c>
    </row>
    <row r="12">
      <c r="A12" s="46" t="inlineStr">
        <is>
          <t>EURCHF</t>
        </is>
      </c>
      <c r="B1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)</f>
        <v/>
      </c>
      <c r="C1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Win"))</f>
        <v/>
      </c>
      <c r="D1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Loss"))</f>
        <v/>
      </c>
      <c r="E1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BE"))</f>
        <v/>
      </c>
      <c r="F12" s="43">
        <f>IF(B12=0,"—",C12/B12)</f>
        <v/>
      </c>
      <c r="G12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$401))</f>
        <v/>
      </c>
      <c r="H12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&lt;0)*('02_Trade_Log'!$AJ$2:$AJ$401))))</f>
        <v/>
      </c>
      <c r="I12" s="42">
        <f>IF(C12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Win")*('02_Trade_Log'!$AJ$2:$AJ$401))/C12)</f>
        <v/>
      </c>
      <c r="J12" s="42">
        <f>IF(D12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Loss")*('02_Trade_Log'!$AJ$2:$AJ$401))/D12)</f>
        <v/>
      </c>
      <c r="K12" s="42">
        <f>IF(B12=0,"—",G12/B12)</f>
        <v/>
      </c>
      <c r="N12">
        <f>A45</f>
        <v/>
      </c>
      <c r="O12" s="42">
        <f>G45</f>
        <v/>
      </c>
      <c r="P12" s="43">
        <f>IF(ISNUMBER(F45),F45,0)</f>
        <v/>
      </c>
    </row>
    <row r="13">
      <c r="A13" s="48" t="inlineStr">
        <is>
          <t>EURJPY</t>
        </is>
      </c>
      <c r="B1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)</f>
        <v/>
      </c>
      <c r="C1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Win"))</f>
        <v/>
      </c>
      <c r="D1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Loss"))</f>
        <v/>
      </c>
      <c r="E1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BE"))</f>
        <v/>
      </c>
      <c r="F13" s="50">
        <f>IF(B13=0,"—",C13/B13)</f>
        <v/>
      </c>
      <c r="G13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$401))</f>
        <v/>
      </c>
      <c r="H13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&lt;0)*('02_Trade_Log'!$AJ$2:$AJ$401))))</f>
        <v/>
      </c>
      <c r="I13" s="51">
        <f>IF(C13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Win")*('02_Trade_Log'!$AJ$2:$AJ$401))/C13)</f>
        <v/>
      </c>
      <c r="J13" s="51">
        <f>IF(D13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Loss")*('02_Trade_Log'!$AJ$2:$AJ$401))/D13)</f>
        <v/>
      </c>
      <c r="K13" s="51">
        <f>IF(B13=0,"—",G13/B13)</f>
        <v/>
      </c>
    </row>
    <row r="14">
      <c r="A14" s="46" t="inlineStr">
        <is>
          <t>EURCAD</t>
        </is>
      </c>
      <c r="B1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)</f>
        <v/>
      </c>
      <c r="C1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Win"))</f>
        <v/>
      </c>
      <c r="D1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Loss"))</f>
        <v/>
      </c>
      <c r="E1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BE"))</f>
        <v/>
      </c>
      <c r="F14" s="43">
        <f>IF(B14=0,"—",C14/B14)</f>
        <v/>
      </c>
      <c r="G14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$401))</f>
        <v/>
      </c>
      <c r="H14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&lt;0)*('02_Trade_Log'!$AJ$2:$AJ$401))))</f>
        <v/>
      </c>
      <c r="I14" s="42">
        <f>IF(C14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Win")*('02_Trade_Log'!$AJ$2:$AJ$401))/C14)</f>
        <v/>
      </c>
      <c r="J14" s="42">
        <f>IF(D14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Loss")*('02_Trade_Log'!$AJ$2:$AJ$401))/D14)</f>
        <v/>
      </c>
      <c r="K14" s="42">
        <f>IF(B14=0,"—",G14/B14)</f>
        <v/>
      </c>
      <c r="N14" t="inlineStr">
        <is>
          <t>Session</t>
        </is>
      </c>
      <c r="O14" t="inlineStr">
        <is>
          <t>PnL</t>
        </is>
      </c>
      <c r="P14" t="inlineStr">
        <is>
          <t>Win rate</t>
        </is>
      </c>
    </row>
    <row r="15">
      <c r="A15" s="48" t="inlineStr">
        <is>
          <t>EURUSD</t>
        </is>
      </c>
      <c r="B15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)</f>
        <v/>
      </c>
      <c r="C15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Win"))</f>
        <v/>
      </c>
      <c r="D15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Loss"))</f>
        <v/>
      </c>
      <c r="E15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BE"))</f>
        <v/>
      </c>
      <c r="F15" s="50">
        <f>IF(B15=0,"—",C15/B15)</f>
        <v/>
      </c>
      <c r="G15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$401))</f>
        <v/>
      </c>
      <c r="H15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&lt;0)*('02_Trade_Log'!$AJ$2:$AJ$401))))</f>
        <v/>
      </c>
      <c r="I15" s="51">
        <f>IF(C15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Win")*('02_Trade_Log'!$AJ$2:$AJ$401))/C15)</f>
        <v/>
      </c>
      <c r="J15" s="51">
        <f>IF(D15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Loss")*('02_Trade_Log'!$AJ$2:$AJ$401))/D15)</f>
        <v/>
      </c>
      <c r="K15" s="51">
        <f>IF(B15=0,"—",G15/B15)</f>
        <v/>
      </c>
      <c r="N15">
        <f>A52</f>
        <v/>
      </c>
      <c r="O15" s="42">
        <f>G52</f>
        <v/>
      </c>
      <c r="P15">
        <f>IF(ISNUMBER(F52),F52,0)</f>
        <v/>
      </c>
    </row>
    <row r="16">
      <c r="A16" s="46" t="inlineStr">
        <is>
          <t>EURNZD</t>
        </is>
      </c>
      <c r="B1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)</f>
        <v/>
      </c>
      <c r="C1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Win"))</f>
        <v/>
      </c>
      <c r="D1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Loss"))</f>
        <v/>
      </c>
      <c r="E1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BE"))</f>
        <v/>
      </c>
      <c r="F16" s="43">
        <f>IF(B16=0,"—",C16/B16)</f>
        <v/>
      </c>
      <c r="G16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$401))</f>
        <v/>
      </c>
      <c r="H16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&lt;0)*('02_Trade_Log'!$AJ$2:$AJ$401))))</f>
        <v/>
      </c>
      <c r="I16" s="42">
        <f>IF(C16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Win")*('02_Trade_Log'!$AJ$2:$AJ$401))/C16)</f>
        <v/>
      </c>
      <c r="J16" s="42">
        <f>IF(D16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Loss")*('02_Trade_Log'!$AJ$2:$AJ$401))/D16)</f>
        <v/>
      </c>
      <c r="K16" s="42">
        <f>IF(B16=0,"—",G16/B16)</f>
        <v/>
      </c>
      <c r="N16">
        <f>A53</f>
        <v/>
      </c>
      <c r="O16" s="42">
        <f>G53</f>
        <v/>
      </c>
      <c r="P16">
        <f>IF(ISNUMBER(F53),F53,0)</f>
        <v/>
      </c>
    </row>
    <row r="17">
      <c r="A17" s="48" t="inlineStr">
        <is>
          <t>EURAUD</t>
        </is>
      </c>
      <c r="B1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)</f>
        <v/>
      </c>
      <c r="C1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Win"))</f>
        <v/>
      </c>
      <c r="D1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Loss"))</f>
        <v/>
      </c>
      <c r="E1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BE"))</f>
        <v/>
      </c>
      <c r="F17" s="50">
        <f>IF(B17=0,"—",C17/B17)</f>
        <v/>
      </c>
      <c r="G17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$401))</f>
        <v/>
      </c>
      <c r="H17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&lt;0)*('02_Trade_Log'!$AJ$2:$AJ$401))))</f>
        <v/>
      </c>
      <c r="I17" s="51">
        <f>IF(C17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Win")*('02_Trade_Log'!$AJ$2:$AJ$401))/C17)</f>
        <v/>
      </c>
      <c r="J17" s="51">
        <f>IF(D17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Loss")*('02_Trade_Log'!$AJ$2:$AJ$401))/D17)</f>
        <v/>
      </c>
      <c r="K17" s="51">
        <f>IF(B17=0,"—",G17/B17)</f>
        <v/>
      </c>
      <c r="N17">
        <f>A54</f>
        <v/>
      </c>
      <c r="O17" s="42">
        <f>G54</f>
        <v/>
      </c>
      <c r="P17">
        <f>IF(ISNUMBER(F54),F54,0)</f>
        <v/>
      </c>
    </row>
    <row r="18">
      <c r="A18" s="46" t="inlineStr">
        <is>
          <t>GBPCHF</t>
        </is>
      </c>
      <c r="B1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)</f>
        <v/>
      </c>
      <c r="C1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Win"))</f>
        <v/>
      </c>
      <c r="D1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Loss"))</f>
        <v/>
      </c>
      <c r="E1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BE"))</f>
        <v/>
      </c>
      <c r="F18" s="43">
        <f>IF(B18=0,"—",C18/B18)</f>
        <v/>
      </c>
      <c r="G18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$401))</f>
        <v/>
      </c>
      <c r="H18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&lt;0)*('02_Trade_Log'!$AJ$2:$AJ$401))))</f>
        <v/>
      </c>
      <c r="I18" s="42">
        <f>IF(C18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Win")*('02_Trade_Log'!$AJ$2:$AJ$401))/C18)</f>
        <v/>
      </c>
      <c r="J18" s="42">
        <f>IF(D18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Loss")*('02_Trade_Log'!$AJ$2:$AJ$401))/D18)</f>
        <v/>
      </c>
      <c r="K18" s="42">
        <f>IF(B18=0,"—",G18/B18)</f>
        <v/>
      </c>
      <c r="N18">
        <f>A55</f>
        <v/>
      </c>
      <c r="O18" s="42">
        <f>G55</f>
        <v/>
      </c>
      <c r="P18">
        <f>IF(ISNUMBER(F55),F55,0)</f>
        <v/>
      </c>
    </row>
    <row r="19">
      <c r="A19" s="48" t="inlineStr">
        <is>
          <t>GBPJPY</t>
        </is>
      </c>
      <c r="B1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)</f>
        <v/>
      </c>
      <c r="C1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Win"))</f>
        <v/>
      </c>
      <c r="D1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Loss"))</f>
        <v/>
      </c>
      <c r="E1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BE"))</f>
        <v/>
      </c>
      <c r="F19" s="50">
        <f>IF(B19=0,"—",C19/B19)</f>
        <v/>
      </c>
      <c r="G19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$401))</f>
        <v/>
      </c>
      <c r="H19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&lt;0)*('02_Trade_Log'!$AJ$2:$AJ$401))))</f>
        <v/>
      </c>
      <c r="I19" s="51">
        <f>IF(C19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Win")*('02_Trade_Log'!$AJ$2:$AJ$401))/C19)</f>
        <v/>
      </c>
      <c r="J19" s="51">
        <f>IF(D19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Loss")*('02_Trade_Log'!$AJ$2:$AJ$401))/D19)</f>
        <v/>
      </c>
      <c r="K19" s="51">
        <f>IF(B19=0,"—",G19/B19)</f>
        <v/>
      </c>
    </row>
    <row r="20">
      <c r="A20" s="46" t="inlineStr">
        <is>
          <t>GBPCAD</t>
        </is>
      </c>
      <c r="B2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)</f>
        <v/>
      </c>
      <c r="C2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Win"))</f>
        <v/>
      </c>
      <c r="D2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Loss"))</f>
        <v/>
      </c>
      <c r="E2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BE"))</f>
        <v/>
      </c>
      <c r="F20" s="43">
        <f>IF(B20=0,"—",C20/B20)</f>
        <v/>
      </c>
      <c r="G20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$401))</f>
        <v/>
      </c>
      <c r="H20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&lt;0)*('02_Trade_Log'!$AJ$2:$AJ$401))))</f>
        <v/>
      </c>
      <c r="I20" s="42">
        <f>IF(C20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Win")*('02_Trade_Log'!$AJ$2:$AJ$401))/C20)</f>
        <v/>
      </c>
      <c r="J20" s="42">
        <f>IF(D20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Loss")*('02_Trade_Log'!$AJ$2:$AJ$401))/D20)</f>
        <v/>
      </c>
      <c r="K20" s="42">
        <f>IF(B20=0,"—",G20/B20)</f>
        <v/>
      </c>
      <c r="N20" t="inlineStr">
        <is>
          <t>Setup</t>
        </is>
      </c>
      <c r="O20" t="inlineStr">
        <is>
          <t>PnL</t>
        </is>
      </c>
      <c r="P20" t="inlineStr">
        <is>
          <t>Win rate</t>
        </is>
      </c>
    </row>
    <row r="21">
      <c r="A21" s="48" t="inlineStr">
        <is>
          <t>GBPUSD</t>
        </is>
      </c>
      <c r="B2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)</f>
        <v/>
      </c>
      <c r="C2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Win"))</f>
        <v/>
      </c>
      <c r="D2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Loss"))</f>
        <v/>
      </c>
      <c r="E2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BE"))</f>
        <v/>
      </c>
      <c r="F21" s="50">
        <f>IF(B21=0,"—",C21/B21)</f>
        <v/>
      </c>
      <c r="G21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$401))</f>
        <v/>
      </c>
      <c r="H21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&lt;0)*('02_Trade_Log'!$AJ$2:$AJ$401))))</f>
        <v/>
      </c>
      <c r="I21" s="51">
        <f>IF(C21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Win")*('02_Trade_Log'!$AJ$2:$AJ$401))/C21)</f>
        <v/>
      </c>
      <c r="J21" s="51">
        <f>IF(D21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Loss")*('02_Trade_Log'!$AJ$2:$AJ$401))/D21)</f>
        <v/>
      </c>
      <c r="K21" s="51">
        <f>IF(B21=0,"—",G21/B21)</f>
        <v/>
      </c>
      <c r="N21">
        <f>A60</f>
        <v/>
      </c>
      <c r="O21" s="42">
        <f>G60</f>
        <v/>
      </c>
      <c r="P21">
        <f>IF(ISNUMBER(F60),F60,0)</f>
        <v/>
      </c>
    </row>
    <row r="22">
      <c r="A22" s="46" t="inlineStr">
        <is>
          <t>GBPNZD</t>
        </is>
      </c>
      <c r="B2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)</f>
        <v/>
      </c>
      <c r="C2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Win"))</f>
        <v/>
      </c>
      <c r="D2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Loss"))</f>
        <v/>
      </c>
      <c r="E2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BE"))</f>
        <v/>
      </c>
      <c r="F22" s="43">
        <f>IF(B22=0,"—",C22/B22)</f>
        <v/>
      </c>
      <c r="G22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$401))</f>
        <v/>
      </c>
      <c r="H22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&lt;0)*('02_Trade_Log'!$AJ$2:$AJ$401))))</f>
        <v/>
      </c>
      <c r="I22" s="42">
        <f>IF(C22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Win")*('02_Trade_Log'!$AJ$2:$AJ$401))/C22)</f>
        <v/>
      </c>
      <c r="J22" s="42">
        <f>IF(D22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Loss")*('02_Trade_Log'!$AJ$2:$AJ$401))/D22)</f>
        <v/>
      </c>
      <c r="K22" s="42">
        <f>IF(B22=0,"—",G22/B22)</f>
        <v/>
      </c>
      <c r="N22">
        <f>A61</f>
        <v/>
      </c>
      <c r="O22" s="42">
        <f>G61</f>
        <v/>
      </c>
      <c r="P22">
        <f>IF(ISNUMBER(F61),F61,0)</f>
        <v/>
      </c>
    </row>
    <row r="23">
      <c r="A23" s="48" t="inlineStr">
        <is>
          <t>GBPAUD</t>
        </is>
      </c>
      <c r="B2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)</f>
        <v/>
      </c>
      <c r="C2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Win"))</f>
        <v/>
      </c>
      <c r="D2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Loss"))</f>
        <v/>
      </c>
      <c r="E2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BE"))</f>
        <v/>
      </c>
      <c r="F23" s="50">
        <f>IF(B23=0,"—",C23/B23)</f>
        <v/>
      </c>
      <c r="G23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$401))</f>
        <v/>
      </c>
      <c r="H23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&lt;0)*('02_Trade_Log'!$AJ$2:$AJ$401))))</f>
        <v/>
      </c>
      <c r="I23" s="51">
        <f>IF(C23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Win")*('02_Trade_Log'!$AJ$2:$AJ$401))/C23)</f>
        <v/>
      </c>
      <c r="J23" s="51">
        <f>IF(D23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Loss")*('02_Trade_Log'!$AJ$2:$AJ$401))/D23)</f>
        <v/>
      </c>
      <c r="K23" s="51">
        <f>IF(B23=0,"—",G23/B23)</f>
        <v/>
      </c>
      <c r="N23">
        <f>A62</f>
        <v/>
      </c>
      <c r="O23" s="42">
        <f>G62</f>
        <v/>
      </c>
      <c r="P23">
        <f>IF(ISNUMBER(F62),F62,0)</f>
        <v/>
      </c>
    </row>
    <row r="24">
      <c r="A24" s="46" t="inlineStr">
        <is>
          <t>NZDCHF</t>
        </is>
      </c>
      <c r="B2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)</f>
        <v/>
      </c>
      <c r="C2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Win"))</f>
        <v/>
      </c>
      <c r="D2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Loss"))</f>
        <v/>
      </c>
      <c r="E2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BE"))</f>
        <v/>
      </c>
      <c r="F24" s="43">
        <f>IF(B24=0,"—",C24/B24)</f>
        <v/>
      </c>
      <c r="G24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$401))</f>
        <v/>
      </c>
      <c r="H24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&lt;0)*('02_Trade_Log'!$AJ$2:$AJ$401))))</f>
        <v/>
      </c>
      <c r="I24" s="42">
        <f>IF(C24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Win")*('02_Trade_Log'!$AJ$2:$AJ$401))/C24)</f>
        <v/>
      </c>
      <c r="J24" s="42">
        <f>IF(D24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Loss")*('02_Trade_Log'!$AJ$2:$AJ$401))/D24)</f>
        <v/>
      </c>
      <c r="K24" s="42">
        <f>IF(B24=0,"—",G24/B24)</f>
        <v/>
      </c>
      <c r="N24">
        <f>A63</f>
        <v/>
      </c>
      <c r="O24" s="42">
        <f>G63</f>
        <v/>
      </c>
      <c r="P24">
        <f>IF(ISNUMBER(F63),F63,0)</f>
        <v/>
      </c>
    </row>
    <row r="25">
      <c r="A25" s="48" t="inlineStr">
        <is>
          <t>NZDJPY</t>
        </is>
      </c>
      <c r="B25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)</f>
        <v/>
      </c>
      <c r="C25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Win"))</f>
        <v/>
      </c>
      <c r="D25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Loss"))</f>
        <v/>
      </c>
      <c r="E25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BE"))</f>
        <v/>
      </c>
      <c r="F25" s="50">
        <f>IF(B25=0,"—",C25/B25)</f>
        <v/>
      </c>
      <c r="G25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$401))</f>
        <v/>
      </c>
      <c r="H25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&lt;0)*('02_Trade_Log'!$AJ$2:$AJ$401))))</f>
        <v/>
      </c>
      <c r="I25" s="51">
        <f>IF(C25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Win")*('02_Trade_Log'!$AJ$2:$AJ$401))/C25)</f>
        <v/>
      </c>
      <c r="J25" s="51">
        <f>IF(D25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Loss")*('02_Trade_Log'!$AJ$2:$AJ$401))/D25)</f>
        <v/>
      </c>
      <c r="K25" s="51">
        <f>IF(B25=0,"—",G25/B25)</f>
        <v/>
      </c>
    </row>
    <row r="26">
      <c r="A26" s="46" t="inlineStr">
        <is>
          <t>NZDCAD</t>
        </is>
      </c>
      <c r="B2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)</f>
        <v/>
      </c>
      <c r="C2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Win"))</f>
        <v/>
      </c>
      <c r="D2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Loss"))</f>
        <v/>
      </c>
      <c r="E2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BE"))</f>
        <v/>
      </c>
      <c r="F26" s="43">
        <f>IF(B26=0,"—",C26/B26)</f>
        <v/>
      </c>
      <c r="G26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$401))</f>
        <v/>
      </c>
      <c r="H26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&lt;0)*('02_Trade_Log'!$AJ$2:$AJ$401))))</f>
        <v/>
      </c>
      <c r="I26" s="42">
        <f>IF(C26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Win")*('02_Trade_Log'!$AJ$2:$AJ$401))/C26)</f>
        <v/>
      </c>
      <c r="J26" s="42">
        <f>IF(D26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Loss")*('02_Trade_Log'!$AJ$2:$AJ$401))/D26)</f>
        <v/>
      </c>
      <c r="K26" s="42">
        <f>IF(B26=0,"—",G26/B26)</f>
        <v/>
      </c>
      <c r="N26" t="inlineStr">
        <is>
          <t>Outcome</t>
        </is>
      </c>
      <c r="O26" t="inlineStr">
        <is>
          <t>Count</t>
        </is>
      </c>
    </row>
    <row r="27">
      <c r="A27" s="48" t="inlineStr">
        <is>
          <t>NZDUSD</t>
        </is>
      </c>
      <c r="B2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)</f>
        <v/>
      </c>
      <c r="C2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Win"))</f>
        <v/>
      </c>
      <c r="D2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Loss"))</f>
        <v/>
      </c>
      <c r="E27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BE"))</f>
        <v/>
      </c>
      <c r="F27" s="50">
        <f>IF(B27=0,"—",C27/B27)</f>
        <v/>
      </c>
      <c r="G27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$401))</f>
        <v/>
      </c>
      <c r="H27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&lt;0)*('02_Trade_Log'!$AJ$2:$AJ$401))))</f>
        <v/>
      </c>
      <c r="I27" s="51">
        <f>IF(C27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Win")*('02_Trade_Log'!$AJ$2:$AJ$401))/C27)</f>
        <v/>
      </c>
      <c r="J27" s="51">
        <f>IF(D27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Loss")*('02_Trade_Log'!$AJ$2:$AJ$401))/D27)</f>
        <v/>
      </c>
      <c r="K27" s="51">
        <f>IF(B27=0,"—",G27/B27)</f>
        <v/>
      </c>
      <c r="N27" t="inlineStr">
        <is>
          <t>Win</t>
        </is>
      </c>
      <c r="O27">
        <f>'03_Dashboard'!B21</f>
        <v/>
      </c>
    </row>
    <row r="28">
      <c r="A28" s="46" t="inlineStr">
        <is>
          <t>CADJPY</t>
        </is>
      </c>
      <c r="B2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)</f>
        <v/>
      </c>
      <c r="C2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Win"))</f>
        <v/>
      </c>
      <c r="D2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Loss"))</f>
        <v/>
      </c>
      <c r="E2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BE"))</f>
        <v/>
      </c>
      <c r="F28" s="43">
        <f>IF(B28=0,"—",C28/B28)</f>
        <v/>
      </c>
      <c r="G28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$401))</f>
        <v/>
      </c>
      <c r="H28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&lt;0)*('02_Trade_Log'!$AJ$2:$AJ$401))))</f>
        <v/>
      </c>
      <c r="I28" s="42">
        <f>IF(C28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Win")*('02_Trade_Log'!$AJ$2:$AJ$401))/C28)</f>
        <v/>
      </c>
      <c r="J28" s="42">
        <f>IF(D28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Loss")*('02_Trade_Log'!$AJ$2:$AJ$401))/D28)</f>
        <v/>
      </c>
      <c r="K28" s="42">
        <f>IF(B28=0,"—",G28/B28)</f>
        <v/>
      </c>
      <c r="N28" t="inlineStr">
        <is>
          <t>Loss</t>
        </is>
      </c>
      <c r="O28">
        <f>'03_Dashboard'!B22</f>
        <v/>
      </c>
    </row>
    <row r="29">
      <c r="A29" s="48" t="inlineStr">
        <is>
          <t>CADCHF</t>
        </is>
      </c>
      <c r="B2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)</f>
        <v/>
      </c>
      <c r="C2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Win"))</f>
        <v/>
      </c>
      <c r="D2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Loss"))</f>
        <v/>
      </c>
      <c r="E29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BE"))</f>
        <v/>
      </c>
      <c r="F29" s="50">
        <f>IF(B29=0,"—",C29/B29)</f>
        <v/>
      </c>
      <c r="G29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$401))</f>
        <v/>
      </c>
      <c r="H29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&lt;0)*('02_Trade_Log'!$AJ$2:$AJ$401))))</f>
        <v/>
      </c>
      <c r="I29" s="51">
        <f>IF(C29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Win")*('02_Trade_Log'!$AJ$2:$AJ$401))/C29)</f>
        <v/>
      </c>
      <c r="J29" s="51">
        <f>IF(D29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Loss")*('02_Trade_Log'!$AJ$2:$AJ$401))/D29)</f>
        <v/>
      </c>
      <c r="K29" s="51">
        <f>IF(B29=0,"—",G29/B29)</f>
        <v/>
      </c>
      <c r="N29" t="inlineStr">
        <is>
          <t>Breakeven</t>
        </is>
      </c>
      <c r="O29">
        <f>'03_Dashboard'!B23</f>
        <v/>
      </c>
    </row>
    <row r="30">
      <c r="A30" s="46" t="inlineStr">
        <is>
          <t>USDCHF</t>
        </is>
      </c>
      <c r="B3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)</f>
        <v/>
      </c>
      <c r="C3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Win"))</f>
        <v/>
      </c>
      <c r="D3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Loss"))</f>
        <v/>
      </c>
      <c r="E3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BE"))</f>
        <v/>
      </c>
      <c r="F30" s="43">
        <f>IF(B30=0,"—",C30/B30)</f>
        <v/>
      </c>
      <c r="G30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$401))</f>
        <v/>
      </c>
      <c r="H30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&lt;0)*('02_Trade_Log'!$AJ$2:$AJ$401))))</f>
        <v/>
      </c>
      <c r="I30" s="42">
        <f>IF(C30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Win")*('02_Trade_Log'!$AJ$2:$AJ$401))/C30)</f>
        <v/>
      </c>
      <c r="J30" s="42">
        <f>IF(D30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Loss")*('02_Trade_Log'!$AJ$2:$AJ$401))/D30)</f>
        <v/>
      </c>
      <c r="K30" s="42">
        <f>IF(B30=0,"—",G30/B30)</f>
        <v/>
      </c>
    </row>
    <row r="31">
      <c r="A31" s="48" t="inlineStr">
        <is>
          <t>USDJPY</t>
        </is>
      </c>
      <c r="B3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)</f>
        <v/>
      </c>
      <c r="C3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Win"))</f>
        <v/>
      </c>
      <c r="D3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Loss"))</f>
        <v/>
      </c>
      <c r="E31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BE"))</f>
        <v/>
      </c>
      <c r="F31" s="50">
        <f>IF(B31=0,"—",C31/B31)</f>
        <v/>
      </c>
      <c r="G31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$401))</f>
        <v/>
      </c>
      <c r="H31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&lt;0)*('02_Trade_Log'!$AJ$2:$AJ$401))))</f>
        <v/>
      </c>
      <c r="I31" s="51">
        <f>IF(C31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Win")*('02_Trade_Log'!$AJ$2:$AJ$401))/C31)</f>
        <v/>
      </c>
      <c r="J31" s="51">
        <f>IF(D31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Loss")*('02_Trade_Log'!$AJ$2:$AJ$401))/D31)</f>
        <v/>
      </c>
      <c r="K31" s="51">
        <f>IF(B31=0,"—",G31/B31)</f>
        <v/>
      </c>
      <c r="N31" t="inlineStr">
        <is>
          <t>Pair</t>
        </is>
      </c>
      <c r="O31" t="inlineStr">
        <is>
          <t>PnL</t>
        </is>
      </c>
      <c r="P31" t="inlineStr">
        <is>
          <t>Win rate</t>
        </is>
      </c>
    </row>
    <row r="32">
      <c r="A32" s="46" t="inlineStr">
        <is>
          <t>USDCAD</t>
        </is>
      </c>
      <c r="B3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)</f>
        <v/>
      </c>
      <c r="C3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Win"))</f>
        <v/>
      </c>
      <c r="D3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Loss"))</f>
        <v/>
      </c>
      <c r="E3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BE"))</f>
        <v/>
      </c>
      <c r="F32" s="43">
        <f>IF(B32=0,"—",C32/B32)</f>
        <v/>
      </c>
      <c r="G32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$401))</f>
        <v/>
      </c>
      <c r="H32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&lt;0)*('02_Trade_Log'!$AJ$2:$AJ$401))))</f>
        <v/>
      </c>
      <c r="I32" s="42">
        <f>IF(C32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Win")*('02_Trade_Log'!$AJ$2:$AJ$401))/C32)</f>
        <v/>
      </c>
      <c r="J32" s="42">
        <f>IF(D32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Loss")*('02_Trade_Log'!$AJ$2:$AJ$401))/D32)</f>
        <v/>
      </c>
      <c r="K32" s="42">
        <f>IF(B32=0,"—",G32/B32)</f>
        <v/>
      </c>
      <c r="N32">
        <f>A6</f>
        <v/>
      </c>
      <c r="O32" s="42">
        <f>G6</f>
        <v/>
      </c>
      <c r="P32" s="43">
        <f>IF(ISNUMBER(F6),F6,0)</f>
        <v/>
      </c>
    </row>
    <row r="33">
      <c r="A33" s="48" t="inlineStr">
        <is>
          <t>XAUUSD</t>
        </is>
      </c>
      <c r="B3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)</f>
        <v/>
      </c>
      <c r="C3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Win"))</f>
        <v/>
      </c>
      <c r="D3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Loss"))</f>
        <v/>
      </c>
      <c r="E33" s="49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BE"))</f>
        <v/>
      </c>
      <c r="F33" s="50">
        <f>IF(B33=0,"—",C33/B33)</f>
        <v/>
      </c>
      <c r="G33" s="51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$401))</f>
        <v/>
      </c>
      <c r="H33" s="52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&lt;0)*('02_Trade_Log'!$AJ$2:$AJ$401))))</f>
        <v/>
      </c>
      <c r="I33" s="51">
        <f>IF(C33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Win")*('02_Trade_Log'!$AJ$2:$AJ$401))/C33)</f>
        <v/>
      </c>
      <c r="J33" s="51">
        <f>IF(D33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Loss")*('02_Trade_Log'!$AJ$2:$AJ$401))/D33)</f>
        <v/>
      </c>
      <c r="K33" s="51">
        <f>IF(B33=0,"—",G33/B33)</f>
        <v/>
      </c>
      <c r="N33">
        <f>A7</f>
        <v/>
      </c>
      <c r="O33" s="42">
        <f>G7</f>
        <v/>
      </c>
      <c r="P33" s="43">
        <f>IF(ISNUMBER(F7),F7,0)</f>
        <v/>
      </c>
    </row>
    <row r="34">
      <c r="A34" s="46" t="inlineStr">
        <is>
          <t>CHFJPY</t>
        </is>
      </c>
      <c r="B3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)</f>
        <v/>
      </c>
      <c r="C3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Win"))</f>
        <v/>
      </c>
      <c r="D3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Loss"))</f>
        <v/>
      </c>
      <c r="E3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BE"))</f>
        <v/>
      </c>
      <c r="F34" s="43">
        <f>IF(B34=0,"—",C34/B34)</f>
        <v/>
      </c>
      <c r="G34" s="4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$401))</f>
        <v/>
      </c>
      <c r="H34" s="47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&lt;0)*('02_Trade_Log'!$AJ$2:$AJ$401))))</f>
        <v/>
      </c>
      <c r="I34" s="42">
        <f>IF(C34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Win")*('02_Trade_Log'!$AJ$2:$AJ$401))/C34)</f>
        <v/>
      </c>
      <c r="J34" s="42">
        <f>IF(D34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Loss")*('02_Trade_Log'!$AJ$2:$AJ$401))/D34)</f>
        <v/>
      </c>
      <c r="K34" s="42">
        <f>IF(B34=0,"—",G34/B34)</f>
        <v/>
      </c>
      <c r="N34">
        <f>A8</f>
        <v/>
      </c>
      <c r="O34" s="42">
        <f>G8</f>
        <v/>
      </c>
      <c r="P34" s="43">
        <f>IF(ISNUMBER(F8),F8,0)</f>
        <v/>
      </c>
    </row>
    <row r="35">
      <c r="N35">
        <f>A9</f>
        <v/>
      </c>
      <c r="O35" s="42">
        <f>G9</f>
        <v/>
      </c>
      <c r="P35" s="43">
        <f>IF(ISNUMBER(F9),F9,0)</f>
        <v/>
      </c>
    </row>
    <row r="36">
      <c r="N36">
        <f>A10</f>
        <v/>
      </c>
      <c r="O36" s="42">
        <f>G10</f>
        <v/>
      </c>
      <c r="P36" s="43">
        <f>IF(ISNUMBER(F10),F10,0)</f>
        <v/>
      </c>
    </row>
    <row r="37">
      <c r="A37" s="4" t="inlineStr">
        <is>
          <t>BY WEEKDAY</t>
        </is>
      </c>
      <c r="N37">
        <f>A11</f>
        <v/>
      </c>
      <c r="O37" s="42">
        <f>G11</f>
        <v/>
      </c>
      <c r="P37" s="43">
        <f>IF(ISNUMBER(F11),F11,0)</f>
        <v/>
      </c>
    </row>
    <row r="38">
      <c r="A38" s="45" t="inlineStr">
        <is>
          <t>Slice</t>
        </is>
      </c>
      <c r="B38" s="45" t="inlineStr">
        <is>
          <t>Trades</t>
        </is>
      </c>
      <c r="C38" s="45" t="inlineStr">
        <is>
          <t>Wins</t>
        </is>
      </c>
      <c r="D38" s="45" t="inlineStr">
        <is>
          <t>Losses</t>
        </is>
      </c>
      <c r="E38" s="45" t="inlineStr">
        <is>
          <t>BE</t>
        </is>
      </c>
      <c r="F38" s="45" t="inlineStr">
        <is>
          <t>Win rate</t>
        </is>
      </c>
      <c r="G38" s="45" t="inlineStr">
        <is>
          <t>PnL</t>
        </is>
      </c>
      <c r="H38" s="45" t="inlineStr">
        <is>
          <t>Profit factor</t>
        </is>
      </c>
      <c r="I38" s="45" t="inlineStr">
        <is>
          <t>Avg win</t>
        </is>
      </c>
      <c r="J38" s="45" t="inlineStr">
        <is>
          <t>Avg loss</t>
        </is>
      </c>
      <c r="K38" s="45" t="inlineStr">
        <is>
          <t>Avg trade</t>
        </is>
      </c>
      <c r="N38">
        <f>A12</f>
        <v/>
      </c>
      <c r="O38" s="42">
        <f>G12</f>
        <v/>
      </c>
      <c r="P38" s="43">
        <f>IF(ISNUMBER(F12),F12,0)</f>
        <v/>
      </c>
    </row>
    <row r="39">
      <c r="A39" s="46" t="inlineStr">
        <is>
          <t>Monday</t>
        </is>
      </c>
      <c r="B39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)</f>
        <v/>
      </c>
      <c r="C39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Win"))</f>
        <v/>
      </c>
      <c r="D39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Loss"))</f>
        <v/>
      </c>
      <c r="E39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BE"))</f>
        <v/>
      </c>
      <c r="F39" s="43">
        <f>IF(B39=0,"—",C39/B39)</f>
        <v/>
      </c>
      <c r="G39" s="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$401))</f>
        <v/>
      </c>
      <c r="H39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&lt;0)*('02_Trade_Log'!$AJ$2:$AJ$401)))),"—")</f>
        <v/>
      </c>
      <c r="I39" s="42">
        <f>IF(C39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Win")*('02_Trade_Log'!$AJ$2:$AJ$401))/C39)</f>
        <v/>
      </c>
      <c r="J39" s="42">
        <f>IF(D39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Loss")*('02_Trade_Log'!$AJ$2:$AJ$401))/D39)</f>
        <v/>
      </c>
      <c r="K39" s="42">
        <f>IF(B39=0,"—",G39/B39)</f>
        <v/>
      </c>
      <c r="N39">
        <f>A13</f>
        <v/>
      </c>
      <c r="O39" s="42">
        <f>G13</f>
        <v/>
      </c>
      <c r="P39" s="43">
        <f>IF(ISNUMBER(F13),F13,0)</f>
        <v/>
      </c>
    </row>
    <row r="40">
      <c r="A40" s="46" t="inlineStr">
        <is>
          <t>Tuesday</t>
        </is>
      </c>
      <c r="B40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)</f>
        <v/>
      </c>
      <c r="C40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Win"))</f>
        <v/>
      </c>
      <c r="D40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Loss"))</f>
        <v/>
      </c>
      <c r="E40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BE"))</f>
        <v/>
      </c>
      <c r="F40" s="43">
        <f>IF(B40=0,"—",C40/B40)</f>
        <v/>
      </c>
      <c r="G40" s="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$401))</f>
        <v/>
      </c>
      <c r="H40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&lt;0)*('02_Trade_Log'!$AJ$2:$AJ$401)))),"—")</f>
        <v/>
      </c>
      <c r="I40" s="42">
        <f>IF(C40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Win")*('02_Trade_Log'!$AJ$2:$AJ$401))/C40)</f>
        <v/>
      </c>
      <c r="J40" s="42">
        <f>IF(D40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Loss")*('02_Trade_Log'!$AJ$2:$AJ$401))/D40)</f>
        <v/>
      </c>
      <c r="K40" s="42">
        <f>IF(B40=0,"—",G40/B40)</f>
        <v/>
      </c>
      <c r="N40">
        <f>A14</f>
        <v/>
      </c>
      <c r="O40" s="42">
        <f>G14</f>
        <v/>
      </c>
      <c r="P40" s="43">
        <f>IF(ISNUMBER(F14),F14,0)</f>
        <v/>
      </c>
    </row>
    <row r="41">
      <c r="A41" s="46" t="inlineStr">
        <is>
          <t>Wednesday</t>
        </is>
      </c>
      <c r="B41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)</f>
        <v/>
      </c>
      <c r="C41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Win"))</f>
        <v/>
      </c>
      <c r="D41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Loss"))</f>
        <v/>
      </c>
      <c r="E41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BE"))</f>
        <v/>
      </c>
      <c r="F41" s="43">
        <f>IF(B41=0,"—",C41/B41)</f>
        <v/>
      </c>
      <c r="G41" s="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$401))</f>
        <v/>
      </c>
      <c r="H41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&lt;0)*('02_Trade_Log'!$AJ$2:$AJ$401)))),"—")</f>
        <v/>
      </c>
      <c r="I41" s="42">
        <f>IF(C41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Win")*('02_Trade_Log'!$AJ$2:$AJ$401))/C41)</f>
        <v/>
      </c>
      <c r="J41" s="42">
        <f>IF(D41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Loss")*('02_Trade_Log'!$AJ$2:$AJ$401))/D41)</f>
        <v/>
      </c>
      <c r="K41" s="42">
        <f>IF(B41=0,"—",G41/B41)</f>
        <v/>
      </c>
      <c r="N41">
        <f>A15</f>
        <v/>
      </c>
      <c r="O41" s="42">
        <f>G15</f>
        <v/>
      </c>
      <c r="P41" s="43">
        <f>IF(ISNUMBER(F15),F15,0)</f>
        <v/>
      </c>
    </row>
    <row r="42">
      <c r="A42" s="46" t="inlineStr">
        <is>
          <t>Thursday</t>
        </is>
      </c>
      <c r="B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)</f>
        <v/>
      </c>
      <c r="C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Win"))</f>
        <v/>
      </c>
      <c r="D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Loss"))</f>
        <v/>
      </c>
      <c r="E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BE"))</f>
        <v/>
      </c>
      <c r="F42" s="43">
        <f>IF(B42=0,"—",C42/B42)</f>
        <v/>
      </c>
      <c r="G42" s="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$401))</f>
        <v/>
      </c>
      <c r="H42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&lt;0)*('02_Trade_Log'!$AJ$2:$AJ$401)))),"—")</f>
        <v/>
      </c>
      <c r="I42" s="42">
        <f>IF(C42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Win")*('02_Trade_Log'!$AJ$2:$AJ$401))/C42)</f>
        <v/>
      </c>
      <c r="J42" s="42">
        <f>IF(D42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Loss")*('02_Trade_Log'!$AJ$2:$AJ$401))/D42)</f>
        <v/>
      </c>
      <c r="K42" s="42">
        <f>IF(B42=0,"—",G42/B42)</f>
        <v/>
      </c>
      <c r="N42">
        <f>A16</f>
        <v/>
      </c>
      <c r="O42" s="42">
        <f>G16</f>
        <v/>
      </c>
      <c r="P42" s="43">
        <f>IF(ISNUMBER(F16),F16,0)</f>
        <v/>
      </c>
    </row>
    <row r="43">
      <c r="A43" s="46" t="inlineStr">
        <is>
          <t>Friday</t>
        </is>
      </c>
      <c r="B43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)</f>
        <v/>
      </c>
      <c r="C43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Win"))</f>
        <v/>
      </c>
      <c r="D43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Loss"))</f>
        <v/>
      </c>
      <c r="E43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BE"))</f>
        <v/>
      </c>
      <c r="F43" s="43">
        <f>IF(B43=0,"—",C43/B43)</f>
        <v/>
      </c>
      <c r="G43" s="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$401))</f>
        <v/>
      </c>
      <c r="H43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&lt;0)*('02_Trade_Log'!$AJ$2:$AJ$401)))),"—")</f>
        <v/>
      </c>
      <c r="I43" s="42">
        <f>IF(C43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Win")*('02_Trade_Log'!$AJ$2:$AJ$401))/C43)</f>
        <v/>
      </c>
      <c r="J43" s="42">
        <f>IF(D43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Loss")*('02_Trade_Log'!$AJ$2:$AJ$401))/D43)</f>
        <v/>
      </c>
      <c r="K43" s="42">
        <f>IF(B43=0,"—",G43/B43)</f>
        <v/>
      </c>
      <c r="N43">
        <f>A17</f>
        <v/>
      </c>
      <c r="O43" s="42">
        <f>G17</f>
        <v/>
      </c>
      <c r="P43" s="43">
        <f>IF(ISNUMBER(F17),F17,0)</f>
        <v/>
      </c>
    </row>
    <row r="44">
      <c r="A44" s="46" t="inlineStr">
        <is>
          <t>Saturday</t>
        </is>
      </c>
      <c r="B44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)</f>
        <v/>
      </c>
      <c r="C44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Win"))</f>
        <v/>
      </c>
      <c r="D44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Loss"))</f>
        <v/>
      </c>
      <c r="E44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BE"))</f>
        <v/>
      </c>
      <c r="F44" s="43">
        <f>IF(B44=0,"—",C44/B44)</f>
        <v/>
      </c>
      <c r="G44" s="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$401))</f>
        <v/>
      </c>
      <c r="H44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&lt;0)*('02_Trade_Log'!$AJ$2:$AJ$401)))),"—")</f>
        <v/>
      </c>
      <c r="I44" s="42">
        <f>IF(C44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Win")*('02_Trade_Log'!$AJ$2:$AJ$401))/C44)</f>
        <v/>
      </c>
      <c r="J44" s="42">
        <f>IF(D44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Loss")*('02_Trade_Log'!$AJ$2:$AJ$401))/D44)</f>
        <v/>
      </c>
      <c r="K44" s="42">
        <f>IF(B44=0,"—",G44/B44)</f>
        <v/>
      </c>
      <c r="N44">
        <f>A18</f>
        <v/>
      </c>
      <c r="O44" s="42">
        <f>G18</f>
        <v/>
      </c>
      <c r="P44" s="43">
        <f>IF(ISNUMBER(F18),F18,0)</f>
        <v/>
      </c>
    </row>
    <row r="45">
      <c r="A45" s="46" t="inlineStr">
        <is>
          <t>Sunday</t>
        </is>
      </c>
      <c r="B45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)</f>
        <v/>
      </c>
      <c r="C45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Win"))</f>
        <v/>
      </c>
      <c r="D45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Loss"))</f>
        <v/>
      </c>
      <c r="E45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BE"))</f>
        <v/>
      </c>
      <c r="F45" s="43">
        <f>IF(B45=0,"—",C45/B45)</f>
        <v/>
      </c>
      <c r="G45" s="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$401))</f>
        <v/>
      </c>
      <c r="H45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&lt;0)*('02_Trade_Log'!$AJ$2:$AJ$401)))),"—")</f>
        <v/>
      </c>
      <c r="I45" s="42">
        <f>IF(C45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Win")*('02_Trade_Log'!$AJ$2:$AJ$401))/C45)</f>
        <v/>
      </c>
      <c r="J45" s="42">
        <f>IF(D45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Loss")*('02_Trade_Log'!$AJ$2:$AJ$401))/D45)</f>
        <v/>
      </c>
      <c r="K45" s="42">
        <f>IF(B45=0,"—",G45/B45)</f>
        <v/>
      </c>
      <c r="N45">
        <f>A19</f>
        <v/>
      </c>
      <c r="O45" s="42">
        <f>G19</f>
        <v/>
      </c>
      <c r="P45" s="43">
        <f>IF(ISNUMBER(F19),F19,0)</f>
        <v/>
      </c>
    </row>
    <row r="46">
      <c r="N46">
        <f>A20</f>
        <v/>
      </c>
      <c r="O46" s="42">
        <f>G20</f>
        <v/>
      </c>
      <c r="P46" s="43">
        <f>IF(ISNUMBER(F20),F20,0)</f>
        <v/>
      </c>
    </row>
    <row r="47">
      <c r="A47" s="46" t="inlineStr">
        <is>
          <t>Most profitable weekday</t>
        </is>
      </c>
      <c r="B47">
        <f>IFERROR(INDEX(A39:A45,MATCH(MAX(G39:G45),G39:G45,0)),"—")</f>
        <v/>
      </c>
      <c r="N47">
        <f>A21</f>
        <v/>
      </c>
      <c r="O47" s="42">
        <f>G21</f>
        <v/>
      </c>
      <c r="P47" s="43">
        <f>IF(ISNUMBER(F21),F21,0)</f>
        <v/>
      </c>
    </row>
    <row r="48">
      <c r="A48" s="46" t="inlineStr">
        <is>
          <t>Least profitable weekday</t>
        </is>
      </c>
      <c r="B48">
        <f>IFERROR(INDEX(A39:A45,MATCH(MIN(G39:G45),G39:G45,0)),"—")</f>
        <v/>
      </c>
      <c r="N48">
        <f>A22</f>
        <v/>
      </c>
      <c r="O48" s="42">
        <f>G22</f>
        <v/>
      </c>
      <c r="P48" s="43">
        <f>IF(ISNUMBER(F22),F22,0)</f>
        <v/>
      </c>
    </row>
    <row r="49">
      <c r="N49">
        <f>A23</f>
        <v/>
      </c>
      <c r="O49" s="42">
        <f>G23</f>
        <v/>
      </c>
      <c r="P49" s="43">
        <f>IF(ISNUMBER(F23),F23,0)</f>
        <v/>
      </c>
    </row>
    <row r="50">
      <c r="A50" s="4" t="inlineStr">
        <is>
          <t>BY SESSION</t>
        </is>
      </c>
      <c r="N50">
        <f>A24</f>
        <v/>
      </c>
      <c r="O50" s="42">
        <f>G24</f>
        <v/>
      </c>
      <c r="P50" s="43">
        <f>IF(ISNUMBER(F24),F24,0)</f>
        <v/>
      </c>
    </row>
    <row r="51">
      <c r="A51" s="45" t="inlineStr">
        <is>
          <t>Slice</t>
        </is>
      </c>
      <c r="B51" s="45" t="inlineStr">
        <is>
          <t>Trades</t>
        </is>
      </c>
      <c r="C51" s="45" t="inlineStr">
        <is>
          <t>Wins</t>
        </is>
      </c>
      <c r="D51" s="45" t="inlineStr">
        <is>
          <t>Losses</t>
        </is>
      </c>
      <c r="E51" s="45" t="inlineStr">
        <is>
          <t>BE</t>
        </is>
      </c>
      <c r="F51" s="45" t="inlineStr">
        <is>
          <t>Win rate</t>
        </is>
      </c>
      <c r="G51" s="45" t="inlineStr">
        <is>
          <t>PnL</t>
        </is>
      </c>
      <c r="H51" s="45" t="inlineStr">
        <is>
          <t>Profit factor</t>
        </is>
      </c>
      <c r="I51" s="45" t="inlineStr">
        <is>
          <t>Avg win</t>
        </is>
      </c>
      <c r="J51" s="45" t="inlineStr">
        <is>
          <t>Avg loss</t>
        </is>
      </c>
      <c r="K51" s="45" t="inlineStr">
        <is>
          <t>Avg trade</t>
        </is>
      </c>
      <c r="N51">
        <f>A25</f>
        <v/>
      </c>
      <c r="O51" s="42">
        <f>G25</f>
        <v/>
      </c>
      <c r="P51" s="43">
        <f>IF(ISNUMBER(F25),F25,0)</f>
        <v/>
      </c>
    </row>
    <row r="52">
      <c r="A52" s="46" t="inlineStr">
        <is>
          <t>Asian</t>
        </is>
      </c>
      <c r="B5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)</f>
        <v/>
      </c>
      <c r="C5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Win"))</f>
        <v/>
      </c>
      <c r="D5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Loss"))</f>
        <v/>
      </c>
      <c r="E5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BE"))</f>
        <v/>
      </c>
      <c r="F52" s="43">
        <f>IF(B52=0,"—",C52/B52)</f>
        <v/>
      </c>
      <c r="G52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$401))</f>
        <v/>
      </c>
      <c r="H52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&lt;0)*('02_Trade_Log'!$AJ$2:$AJ$401)))),"—")</f>
        <v/>
      </c>
      <c r="I52" s="42">
        <f>IF(C52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Win")*('02_Trade_Log'!$AJ$2:$AJ$401))/C52)</f>
        <v/>
      </c>
      <c r="J52" s="42">
        <f>IF(D52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Loss")*('02_Trade_Log'!$AJ$2:$AJ$401))/D52)</f>
        <v/>
      </c>
      <c r="K52" s="42">
        <f>IF(B52=0,"—",G52/B52)</f>
        <v/>
      </c>
      <c r="N52">
        <f>A26</f>
        <v/>
      </c>
      <c r="O52" s="42">
        <f>G26</f>
        <v/>
      </c>
      <c r="P52" s="43">
        <f>IF(ISNUMBER(F26),F26,0)</f>
        <v/>
      </c>
    </row>
    <row r="53">
      <c r="A53" s="46" t="inlineStr">
        <is>
          <t>Tokyo</t>
        </is>
      </c>
      <c r="B5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)</f>
        <v/>
      </c>
      <c r="C5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Win"))</f>
        <v/>
      </c>
      <c r="D5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Loss"))</f>
        <v/>
      </c>
      <c r="E5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BE"))</f>
        <v/>
      </c>
      <c r="F53" s="43">
        <f>IF(B53=0,"—",C53/B53)</f>
        <v/>
      </c>
      <c r="G53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$401))</f>
        <v/>
      </c>
      <c r="H53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&lt;0)*('02_Trade_Log'!$AJ$2:$AJ$401)))),"—")</f>
        <v/>
      </c>
      <c r="I53" s="42">
        <f>IF(C53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Win")*('02_Trade_Log'!$AJ$2:$AJ$401))/C53)</f>
        <v/>
      </c>
      <c r="J53" s="42">
        <f>IF(D53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Loss")*('02_Trade_Log'!$AJ$2:$AJ$401))/D53)</f>
        <v/>
      </c>
      <c r="K53" s="42">
        <f>IF(B53=0,"—",G53/B53)</f>
        <v/>
      </c>
      <c r="N53">
        <f>A27</f>
        <v/>
      </c>
      <c r="O53" s="42">
        <f>G27</f>
        <v/>
      </c>
      <c r="P53" s="43">
        <f>IF(ISNUMBER(F27),F27,0)</f>
        <v/>
      </c>
    </row>
    <row r="54">
      <c r="A54" s="46" t="inlineStr">
        <is>
          <t>London</t>
        </is>
      </c>
      <c r="B54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)</f>
        <v/>
      </c>
      <c r="C54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Win"))</f>
        <v/>
      </c>
      <c r="D54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Loss"))</f>
        <v/>
      </c>
      <c r="E54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BE"))</f>
        <v/>
      </c>
      <c r="F54" s="43">
        <f>IF(B54=0,"—",C54/B54)</f>
        <v/>
      </c>
      <c r="G54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$401))</f>
        <v/>
      </c>
      <c r="H54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&lt;0)*('02_Trade_Log'!$AJ$2:$AJ$401)))),"—")</f>
        <v/>
      </c>
      <c r="I54" s="42">
        <f>IF(C54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Win")*('02_Trade_Log'!$AJ$2:$AJ$401))/C54)</f>
        <v/>
      </c>
      <c r="J54" s="42">
        <f>IF(D54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Loss")*('02_Trade_Log'!$AJ$2:$AJ$401))/D54)</f>
        <v/>
      </c>
      <c r="K54" s="42">
        <f>IF(B54=0,"—",G54/B54)</f>
        <v/>
      </c>
      <c r="N54">
        <f>A28</f>
        <v/>
      </c>
      <c r="O54" s="42">
        <f>G28</f>
        <v/>
      </c>
      <c r="P54" s="43">
        <f>IF(ISNUMBER(F28),F28,0)</f>
        <v/>
      </c>
    </row>
    <row r="55">
      <c r="A55" s="46" t="inlineStr">
        <is>
          <t>New York</t>
        </is>
      </c>
      <c r="B55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)</f>
        <v/>
      </c>
      <c r="C55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Win"))</f>
        <v/>
      </c>
      <c r="D55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Loss"))</f>
        <v/>
      </c>
      <c r="E55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BE"))</f>
        <v/>
      </c>
      <c r="F55" s="43">
        <f>IF(B55=0,"—",C55/B55)</f>
        <v/>
      </c>
      <c r="G55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$401))</f>
        <v/>
      </c>
      <c r="H55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&lt;0)*('02_Trade_Log'!$AJ$2:$AJ$401)))),"—")</f>
        <v/>
      </c>
      <c r="I55" s="42">
        <f>IF(C55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Win")*('02_Trade_Log'!$AJ$2:$AJ$401))/C55)</f>
        <v/>
      </c>
      <c r="J55" s="42">
        <f>IF(D55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Loss")*('02_Trade_Log'!$AJ$2:$AJ$401))/D55)</f>
        <v/>
      </c>
      <c r="K55" s="42">
        <f>IF(B55=0,"—",G55/B55)</f>
        <v/>
      </c>
      <c r="N55">
        <f>A29</f>
        <v/>
      </c>
      <c r="O55" s="42">
        <f>G29</f>
        <v/>
      </c>
      <c r="P55" s="43">
        <f>IF(ISNUMBER(F29),F29,0)</f>
        <v/>
      </c>
    </row>
    <row r="56">
      <c r="N56">
        <f>A30</f>
        <v/>
      </c>
      <c r="O56" s="42">
        <f>G30</f>
        <v/>
      </c>
      <c r="P56" s="43">
        <f>IF(ISNUMBER(F30),F30,0)</f>
        <v/>
      </c>
    </row>
    <row r="57">
      <c r="N57">
        <f>A31</f>
        <v/>
      </c>
      <c r="O57" s="42">
        <f>G31</f>
        <v/>
      </c>
      <c r="P57" s="43">
        <f>IF(ISNUMBER(F31),F31,0)</f>
        <v/>
      </c>
    </row>
    <row r="58">
      <c r="A58" s="4" t="inlineStr">
        <is>
          <t>BY SETUP</t>
        </is>
      </c>
      <c r="N58">
        <f>A32</f>
        <v/>
      </c>
      <c r="O58" s="42">
        <f>G32</f>
        <v/>
      </c>
      <c r="P58" s="43">
        <f>IF(ISNUMBER(F32),F32,0)</f>
        <v/>
      </c>
    </row>
    <row r="59">
      <c r="A59" s="45" t="inlineStr">
        <is>
          <t>Slice</t>
        </is>
      </c>
      <c r="B59" s="45" t="inlineStr">
        <is>
          <t>Trades</t>
        </is>
      </c>
      <c r="C59" s="45" t="inlineStr">
        <is>
          <t>Wins</t>
        </is>
      </c>
      <c r="D59" s="45" t="inlineStr">
        <is>
          <t>Losses</t>
        </is>
      </c>
      <c r="E59" s="45" t="inlineStr">
        <is>
          <t>BE</t>
        </is>
      </c>
      <c r="F59" s="45" t="inlineStr">
        <is>
          <t>Win rate</t>
        </is>
      </c>
      <c r="G59" s="45" t="inlineStr">
        <is>
          <t>PnL</t>
        </is>
      </c>
      <c r="H59" s="45" t="inlineStr">
        <is>
          <t>Profit factor</t>
        </is>
      </c>
      <c r="I59" s="45" t="inlineStr">
        <is>
          <t>Avg win</t>
        </is>
      </c>
      <c r="J59" s="45" t="inlineStr">
        <is>
          <t>Avg loss</t>
        </is>
      </c>
      <c r="K59" s="45" t="inlineStr">
        <is>
          <t>Avg trade</t>
        </is>
      </c>
      <c r="N59">
        <f>A33</f>
        <v/>
      </c>
      <c r="O59" s="42">
        <f>G33</f>
        <v/>
      </c>
      <c r="P59" s="43">
        <f>IF(ISNUMBER(F33),F33,0)</f>
        <v/>
      </c>
    </row>
    <row r="60">
      <c r="A60" s="46" t="inlineStr">
        <is>
          <t>Safety trade</t>
        </is>
      </c>
      <c r="B60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)</f>
        <v/>
      </c>
      <c r="C60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Win"))</f>
        <v/>
      </c>
      <c r="D60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Loss"))</f>
        <v/>
      </c>
      <c r="E60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BE"))</f>
        <v/>
      </c>
      <c r="F60" s="43">
        <f>IF(B60=0,"—",C60/B60)</f>
        <v/>
      </c>
      <c r="G60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$401))</f>
        <v/>
      </c>
      <c r="H60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&lt;0)*('02_Trade_Log'!$AJ$2:$AJ$401)))),"—")</f>
        <v/>
      </c>
      <c r="I60" s="42">
        <f>IF(C60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Win")*('02_Trade_Log'!$AJ$2:$AJ$401))/C60)</f>
        <v/>
      </c>
      <c r="J60" s="42">
        <f>IF(D60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Loss")*('02_Trade_Log'!$AJ$2:$AJ$401))/D60)</f>
        <v/>
      </c>
      <c r="K60" s="42">
        <f>IF(B60=0,"—",G60/B60)</f>
        <v/>
      </c>
      <c r="N60">
        <f>A34</f>
        <v/>
      </c>
      <c r="O60" s="42">
        <f>G34</f>
        <v/>
      </c>
      <c r="P60" s="43">
        <f>IF(ISNUMBER(F34),F34,0)</f>
        <v/>
      </c>
    </row>
    <row r="61">
      <c r="A61" s="46" t="inlineStr">
        <is>
          <t>H1 5050 Bounce</t>
        </is>
      </c>
      <c r="B6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)</f>
        <v/>
      </c>
      <c r="C6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Win"))</f>
        <v/>
      </c>
      <c r="D6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Loss"))</f>
        <v/>
      </c>
      <c r="E6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BE"))</f>
        <v/>
      </c>
      <c r="F61" s="43">
        <f>IF(B61=0,"—",C61/B61)</f>
        <v/>
      </c>
      <c r="G61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$401))</f>
        <v/>
      </c>
      <c r="H61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&lt;0)*('02_Trade_Log'!$AJ$2:$AJ$401)))),"—")</f>
        <v/>
      </c>
      <c r="I61" s="42">
        <f>IF(C61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Win")*('02_Trade_Log'!$AJ$2:$AJ$401))/C61)</f>
        <v/>
      </c>
      <c r="J61" s="42">
        <f>IF(D61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Loss")*('02_Trade_Log'!$AJ$2:$AJ$401))/D61)</f>
        <v/>
      </c>
      <c r="K61" s="42">
        <f>IF(B61=0,"—",G61/B61)</f>
        <v/>
      </c>
    </row>
    <row r="62">
      <c r="A62" s="46" t="inlineStr">
        <is>
          <t>H4 50505 Bounce</t>
        </is>
      </c>
      <c r="B6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)</f>
        <v/>
      </c>
      <c r="C6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Win"))</f>
        <v/>
      </c>
      <c r="D6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Loss"))</f>
        <v/>
      </c>
      <c r="E6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BE"))</f>
        <v/>
      </c>
      <c r="F62" s="43">
        <f>IF(B62=0,"—",C62/B62)</f>
        <v/>
      </c>
      <c r="G62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$401))</f>
        <v/>
      </c>
      <c r="H62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&lt;0)*('02_Trade_Log'!$AJ$2:$AJ$401)))),"—")</f>
        <v/>
      </c>
      <c r="I62" s="42">
        <f>IF(C62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Win")*('02_Trade_Log'!$AJ$2:$AJ$401))/C62)</f>
        <v/>
      </c>
      <c r="J62" s="42">
        <f>IF(D62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Loss")*('02_Trade_Log'!$AJ$2:$AJ$401))/D62)</f>
        <v/>
      </c>
      <c r="K62" s="42">
        <f>IF(B62=0,"—",G62/B62)</f>
        <v/>
      </c>
    </row>
    <row r="63">
      <c r="A63" s="46" t="inlineStr">
        <is>
          <t>Other</t>
        </is>
      </c>
      <c r="B6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)</f>
        <v/>
      </c>
      <c r="C6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Win"))</f>
        <v/>
      </c>
      <c r="D6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Loss"))</f>
        <v/>
      </c>
      <c r="E6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BE"))</f>
        <v/>
      </c>
      <c r="F63" s="43">
        <f>IF(B63=0,"—",C63/B63)</f>
        <v/>
      </c>
      <c r="G63" s="4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$401))</f>
        <v/>
      </c>
      <c r="H63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&lt;0)*('02_Trade_Log'!$AJ$2:$AJ$401)))),"—")</f>
        <v/>
      </c>
      <c r="I63" s="42">
        <f>IF(C63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Win")*('02_Trade_Log'!$AJ$2:$AJ$401))/C63)</f>
        <v/>
      </c>
      <c r="J63" s="42">
        <f>IF(D63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Loss")*('02_Trade_Log'!$AJ$2:$AJ$401))/D63)</f>
        <v/>
      </c>
      <c r="K63" s="42">
        <f>IF(B63=0,"—",G63/B63)</f>
        <v/>
      </c>
    </row>
  </sheetData>
  <mergeCells count="2">
    <mergeCell ref="A2:L2"/>
    <mergeCell ref="A1:L1"/>
  </mergeCells>
  <conditionalFormatting sqref="G6:G34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G39:G45">
    <cfRule type="cellIs" priority="3" operator="greaterThan" dxfId="2">
      <formula>0</formula>
    </cfRule>
    <cfRule type="cellIs" priority="4" operator="lessThan" dxfId="3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53" t="inlineStr">
        <is>
          <t>Pairs</t>
        </is>
      </c>
      <c r="B1" s="53" t="inlineStr">
        <is>
          <t>Setups</t>
        </is>
      </c>
      <c r="C1" s="53" t="inlineStr">
        <is>
          <t>Sessions</t>
        </is>
      </c>
      <c r="D1" s="53" t="inlineStr">
        <is>
          <t>Positions</t>
        </is>
      </c>
      <c r="E1" s="53" t="inlineStr">
        <is>
          <t>Plan</t>
        </is>
      </c>
      <c r="F1" s="53" t="inlineStr">
        <is>
          <t>ExitReason</t>
        </is>
      </c>
      <c r="G1" s="53" t="inlineStr">
        <is>
          <t>Market</t>
        </is>
      </c>
      <c r="H1" s="53" t="inlineStr">
        <is>
          <t>Weekdays</t>
        </is>
      </c>
      <c r="I1" s="53" t="inlineStr">
        <is>
          <t>FilterPair</t>
        </is>
      </c>
      <c r="J1" s="53" t="inlineStr">
        <is>
          <t>FilterDay</t>
        </is>
      </c>
      <c r="K1" s="53" t="inlineStr">
        <is>
          <t>FilterSession</t>
        </is>
      </c>
      <c r="L1" s="53" t="inlineStr">
        <is>
          <t>FilterSetup</t>
        </is>
      </c>
    </row>
    <row r="2">
      <c r="A2" t="inlineStr">
        <is>
          <t>AUDCHF</t>
        </is>
      </c>
      <c r="B2" t="inlineStr">
        <is>
          <t>Safety trade</t>
        </is>
      </c>
      <c r="C2" t="inlineStr">
        <is>
          <t>Asian</t>
        </is>
      </c>
      <c r="D2" t="inlineStr">
        <is>
          <t>Buy</t>
        </is>
      </c>
      <c r="E2" t="inlineStr">
        <is>
          <t>Yes</t>
        </is>
      </c>
      <c r="F2" t="inlineStr">
        <is>
          <t>Take profit hit</t>
        </is>
      </c>
      <c r="G2" t="inlineStr">
        <is>
          <t>Trending</t>
        </is>
      </c>
      <c r="H2" t="inlineStr">
        <is>
          <t>Monday</t>
        </is>
      </c>
      <c r="I2" t="inlineStr">
        <is>
          <t>All</t>
        </is>
      </c>
      <c r="J2" t="inlineStr">
        <is>
          <t>All</t>
        </is>
      </c>
      <c r="K2" t="inlineStr">
        <is>
          <t>All</t>
        </is>
      </c>
      <c r="L2" t="inlineStr">
        <is>
          <t>All</t>
        </is>
      </c>
    </row>
    <row r="3">
      <c r="A3" t="inlineStr">
        <is>
          <t>AUDJPY</t>
        </is>
      </c>
      <c r="B3" t="inlineStr">
        <is>
          <t>H1 5050 Bounce</t>
        </is>
      </c>
      <c r="C3" t="inlineStr">
        <is>
          <t>Tokyo</t>
        </is>
      </c>
      <c r="D3" t="inlineStr">
        <is>
          <t>Sell</t>
        </is>
      </c>
      <c r="E3" t="inlineStr">
        <is>
          <t>No</t>
        </is>
      </c>
      <c r="F3" t="inlineStr">
        <is>
          <t>Stop loss hit</t>
        </is>
      </c>
      <c r="G3" t="inlineStr">
        <is>
          <t>Ranging</t>
        </is>
      </c>
      <c r="H3" t="inlineStr">
        <is>
          <t>Tuesday</t>
        </is>
      </c>
      <c r="I3" t="inlineStr">
        <is>
          <t>AUDCHF</t>
        </is>
      </c>
      <c r="J3" t="inlineStr">
        <is>
          <t>Monday</t>
        </is>
      </c>
      <c r="K3" t="inlineStr">
        <is>
          <t>Asian</t>
        </is>
      </c>
      <c r="L3" t="inlineStr">
        <is>
          <t>Safety trade</t>
        </is>
      </c>
    </row>
    <row r="4">
      <c r="A4" t="inlineStr">
        <is>
          <t>AUDCAD</t>
        </is>
      </c>
      <c r="B4" t="inlineStr">
        <is>
          <t>H4 50505 Bounce</t>
        </is>
      </c>
      <c r="C4" t="inlineStr">
        <is>
          <t>London</t>
        </is>
      </c>
      <c r="E4" t="inlineStr">
        <is>
          <t>Partial</t>
        </is>
      </c>
      <c r="F4" t="inlineStr">
        <is>
          <t>Breakeven / scratch</t>
        </is>
      </c>
      <c r="G4" t="inlineStr">
        <is>
          <t>Volatile / news</t>
        </is>
      </c>
      <c r="H4" t="inlineStr">
        <is>
          <t>Wednesday</t>
        </is>
      </c>
      <c r="I4" t="inlineStr">
        <is>
          <t>AUDJPY</t>
        </is>
      </c>
      <c r="J4" t="inlineStr">
        <is>
          <t>Tuesday</t>
        </is>
      </c>
      <c r="K4" t="inlineStr">
        <is>
          <t>Tokyo</t>
        </is>
      </c>
      <c r="L4" t="inlineStr">
        <is>
          <t>H1 5050 Bounce</t>
        </is>
      </c>
    </row>
    <row r="5">
      <c r="A5" t="inlineStr">
        <is>
          <t>AUDUSD</t>
        </is>
      </c>
      <c r="B5" t="inlineStr">
        <is>
          <t>Other</t>
        </is>
      </c>
      <c r="C5" t="inlineStr">
        <is>
          <t>New York</t>
        </is>
      </c>
      <c r="F5" t="inlineStr">
        <is>
          <t>Manual close</t>
        </is>
      </c>
      <c r="G5" t="inlineStr">
        <is>
          <t>Low liquidity</t>
        </is>
      </c>
      <c r="H5" t="inlineStr">
        <is>
          <t>Thursday</t>
        </is>
      </c>
      <c r="I5" t="inlineStr">
        <is>
          <t>AUDCAD</t>
        </is>
      </c>
      <c r="J5" t="inlineStr">
        <is>
          <t>Wednesday</t>
        </is>
      </c>
      <c r="K5" t="inlineStr">
        <is>
          <t>London</t>
        </is>
      </c>
      <c r="L5" t="inlineStr">
        <is>
          <t>H4 50505 Bounce</t>
        </is>
      </c>
    </row>
    <row r="6">
      <c r="A6" t="inlineStr">
        <is>
          <t>AUDNZD</t>
        </is>
      </c>
      <c r="F6" t="inlineStr">
        <is>
          <t>Partial close then full</t>
        </is>
      </c>
      <c r="H6" t="inlineStr">
        <is>
          <t>Friday</t>
        </is>
      </c>
      <c r="I6" t="inlineStr">
        <is>
          <t>AUDUSD</t>
        </is>
      </c>
      <c r="J6" t="inlineStr">
        <is>
          <t>Thursday</t>
        </is>
      </c>
      <c r="K6" t="inlineStr">
        <is>
          <t>New York</t>
        </is>
      </c>
      <c r="L6" t="inlineStr">
        <is>
          <t>Other</t>
        </is>
      </c>
    </row>
    <row r="7">
      <c r="A7" t="inlineStr">
        <is>
          <t>EURGBP</t>
        </is>
      </c>
      <c r="F7" t="inlineStr">
        <is>
          <t>News / invalidation</t>
        </is>
      </c>
      <c r="H7" t="inlineStr">
        <is>
          <t>Saturday</t>
        </is>
      </c>
      <c r="I7" t="inlineStr">
        <is>
          <t>AUDNZD</t>
        </is>
      </c>
      <c r="J7" t="inlineStr">
        <is>
          <t>Friday</t>
        </is>
      </c>
    </row>
    <row r="8">
      <c r="A8" t="inlineStr">
        <is>
          <t>EURCHF</t>
        </is>
      </c>
      <c r="H8" t="inlineStr">
        <is>
          <t>Sunday</t>
        </is>
      </c>
      <c r="I8" t="inlineStr">
        <is>
          <t>EURGBP</t>
        </is>
      </c>
      <c r="J8" t="inlineStr">
        <is>
          <t>Saturday</t>
        </is>
      </c>
    </row>
    <row r="9">
      <c r="A9" t="inlineStr">
        <is>
          <t>EURJPY</t>
        </is>
      </c>
      <c r="I9" t="inlineStr">
        <is>
          <t>EURCHF</t>
        </is>
      </c>
      <c r="J9" t="inlineStr">
        <is>
          <t>Sunday</t>
        </is>
      </c>
    </row>
    <row r="10">
      <c r="A10" t="inlineStr">
        <is>
          <t>EURCAD</t>
        </is>
      </c>
      <c r="I10" t="inlineStr">
        <is>
          <t>EURJPY</t>
        </is>
      </c>
    </row>
    <row r="11">
      <c r="A11" t="inlineStr">
        <is>
          <t>EURUSD</t>
        </is>
      </c>
      <c r="I11" t="inlineStr">
        <is>
          <t>EURCAD</t>
        </is>
      </c>
    </row>
    <row r="12">
      <c r="A12" t="inlineStr">
        <is>
          <t>EURNZD</t>
        </is>
      </c>
      <c r="I12" t="inlineStr">
        <is>
          <t>EURUSD</t>
        </is>
      </c>
    </row>
    <row r="13">
      <c r="A13" t="inlineStr">
        <is>
          <t>EURAUD</t>
        </is>
      </c>
      <c r="I13" t="inlineStr">
        <is>
          <t>EURNZD</t>
        </is>
      </c>
    </row>
    <row r="14">
      <c r="A14" t="inlineStr">
        <is>
          <t>GBPCHF</t>
        </is>
      </c>
      <c r="I14" t="inlineStr">
        <is>
          <t>EURAUD</t>
        </is>
      </c>
    </row>
    <row r="15">
      <c r="A15" t="inlineStr">
        <is>
          <t>GBPJPY</t>
        </is>
      </c>
      <c r="I15" t="inlineStr">
        <is>
          <t>GBPCHF</t>
        </is>
      </c>
    </row>
    <row r="16">
      <c r="A16" t="inlineStr">
        <is>
          <t>GBPCAD</t>
        </is>
      </c>
      <c r="I16" t="inlineStr">
        <is>
          <t>GBPJPY</t>
        </is>
      </c>
    </row>
    <row r="17">
      <c r="A17" t="inlineStr">
        <is>
          <t>GBPUSD</t>
        </is>
      </c>
      <c r="I17" t="inlineStr">
        <is>
          <t>GBPCAD</t>
        </is>
      </c>
    </row>
    <row r="18">
      <c r="A18" t="inlineStr">
        <is>
          <t>GBPNZD</t>
        </is>
      </c>
      <c r="I18" t="inlineStr">
        <is>
          <t>GBPUSD</t>
        </is>
      </c>
    </row>
    <row r="19">
      <c r="A19" t="inlineStr">
        <is>
          <t>GBPAUD</t>
        </is>
      </c>
      <c r="I19" t="inlineStr">
        <is>
          <t>GBPNZD</t>
        </is>
      </c>
    </row>
    <row r="20">
      <c r="A20" t="inlineStr">
        <is>
          <t>NZDCHF</t>
        </is>
      </c>
      <c r="I20" t="inlineStr">
        <is>
          <t>GBPAUD</t>
        </is>
      </c>
    </row>
    <row r="21">
      <c r="A21" t="inlineStr">
        <is>
          <t>NZDJPY</t>
        </is>
      </c>
      <c r="I21" t="inlineStr">
        <is>
          <t>NZDCHF</t>
        </is>
      </c>
    </row>
    <row r="22">
      <c r="A22" t="inlineStr">
        <is>
          <t>NZDCAD</t>
        </is>
      </c>
      <c r="I22" t="inlineStr">
        <is>
          <t>NZDJPY</t>
        </is>
      </c>
    </row>
    <row r="23">
      <c r="A23" t="inlineStr">
        <is>
          <t>NZDUSD</t>
        </is>
      </c>
      <c r="I23" t="inlineStr">
        <is>
          <t>NZDCAD</t>
        </is>
      </c>
    </row>
    <row r="24">
      <c r="A24" t="inlineStr">
        <is>
          <t>CADJPY</t>
        </is>
      </c>
      <c r="I24" t="inlineStr">
        <is>
          <t>NZDUSD</t>
        </is>
      </c>
    </row>
    <row r="25">
      <c r="A25" t="inlineStr">
        <is>
          <t>CADCHF</t>
        </is>
      </c>
      <c r="I25" t="inlineStr">
        <is>
          <t>CADJPY</t>
        </is>
      </c>
    </row>
    <row r="26">
      <c r="A26" t="inlineStr">
        <is>
          <t>USDCHF</t>
        </is>
      </c>
      <c r="I26" t="inlineStr">
        <is>
          <t>CADCHF</t>
        </is>
      </c>
    </row>
    <row r="27">
      <c r="A27" t="inlineStr">
        <is>
          <t>USDJPY</t>
        </is>
      </c>
      <c r="I27" t="inlineStr">
        <is>
          <t>USDCHF</t>
        </is>
      </c>
    </row>
    <row r="28">
      <c r="A28" t="inlineStr">
        <is>
          <t>USDCAD</t>
        </is>
      </c>
      <c r="I28" t="inlineStr">
        <is>
          <t>USDJPY</t>
        </is>
      </c>
    </row>
    <row r="29">
      <c r="A29" t="inlineStr">
        <is>
          <t>XAUUSD</t>
        </is>
      </c>
      <c r="I29" t="inlineStr">
        <is>
          <t>USDCAD</t>
        </is>
      </c>
    </row>
    <row r="30">
      <c r="A30" t="inlineStr">
        <is>
          <t>CHFJPY</t>
        </is>
      </c>
      <c r="I30" t="inlineStr">
        <is>
          <t>XAUUSD</t>
        </is>
      </c>
    </row>
    <row r="31">
      <c r="I31" t="inlineStr">
        <is>
          <t>CHFJPY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Aurum Ledger</dc:creator>
  <dc:title xmlns:dc="http://purl.org/dc/elements/1.1/">Aurum Ledger — Trading Journal</dc:title>
  <dc:description xmlns:dc="http://purl.org/dc/elements/1.1/">Professional forex trading journal with automated PnL, RR, duration, equity and filtered dashboard.</dc:description>
  <dcterms:created xmlns:dcterms="http://purl.org/dc/terms/" xmlns:xsi="http://www.w3.org/2001/XMLSchema-instance" xsi:type="dcterms:W3CDTF">2026-08-21T10:31:08Z</dcterms:created>
  <dcterms:modified xmlns:dcterms="http://purl.org/dc/terms/" xmlns:xsi="http://www.w3.org/2001/XMLSchema-instance" xsi:type="dcterms:W3CDTF">2026-08-21T10:31:09Z</dcterms:modified>
</cp:coreProperties>
</file>